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CodeBase/MetaData/FinalCleaningWork/two_raw_datasets/"/>
    </mc:Choice>
  </mc:AlternateContent>
  <xr:revisionPtr revIDLastSave="0" documentId="13_ncr:1_{D362FC85-FEE3-CC40-B6AF-5D71DE9F898E}" xr6:coauthVersionLast="47" xr6:coauthVersionMax="47" xr10:uidLastSave="{00000000-0000-0000-0000-000000000000}"/>
  <bookViews>
    <workbookView xWindow="0" yWindow="620" windowWidth="28800" windowHeight="17380" xr2:uid="{0E6D66B5-E7CD-DD45-A95B-F5503695D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24" i="1" l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6" i="1"/>
  <c r="M225" i="1"/>
  <c r="M214" i="1"/>
  <c r="M203" i="1"/>
  <c r="M197" i="1"/>
  <c r="M195" i="1"/>
  <c r="M194" i="1"/>
  <c r="M193" i="1"/>
  <c r="M192" i="1"/>
  <c r="M191" i="1"/>
  <c r="M190" i="1"/>
  <c r="M189" i="1"/>
  <c r="M188" i="1"/>
  <c r="M187" i="1"/>
  <c r="M186" i="1"/>
  <c r="M185" i="1"/>
  <c r="M183" i="1"/>
  <c r="M182" i="1"/>
  <c r="M181" i="1"/>
  <c r="M180" i="1"/>
  <c r="M179" i="1"/>
  <c r="M178" i="1"/>
  <c r="M177" i="1"/>
  <c r="M176" i="1"/>
  <c r="M175" i="1"/>
  <c r="M174" i="1"/>
  <c r="M173" i="1"/>
  <c r="M171" i="1"/>
  <c r="M170" i="1"/>
  <c r="M169" i="1"/>
  <c r="M168" i="1"/>
  <c r="M167" i="1"/>
  <c r="M166" i="1"/>
  <c r="M165" i="1"/>
  <c r="M164" i="1"/>
  <c r="M163" i="1"/>
  <c r="M162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2" i="1"/>
  <c r="M111" i="1"/>
  <c r="M110" i="1"/>
  <c r="M109" i="1"/>
  <c r="M108" i="1"/>
  <c r="M107" i="1"/>
  <c r="M106" i="1"/>
  <c r="M104" i="1"/>
  <c r="M102" i="1"/>
  <c r="M101" i="1"/>
  <c r="M100" i="1"/>
  <c r="M99" i="1"/>
  <c r="M97" i="1"/>
  <c r="M96" i="1"/>
  <c r="M95" i="1"/>
  <c r="M94" i="1"/>
  <c r="M90" i="1"/>
  <c r="M89" i="1"/>
  <c r="M88" i="1"/>
  <c r="M87" i="1"/>
  <c r="M86" i="1"/>
  <c r="M85" i="1"/>
  <c r="M83" i="1"/>
  <c r="M82" i="1"/>
  <c r="M81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46" i="1"/>
  <c r="M34" i="1"/>
  <c r="M33" i="1"/>
  <c r="M22" i="1"/>
  <c r="M21" i="1"/>
  <c r="M11" i="1"/>
  <c r="M10" i="1"/>
  <c r="M9" i="1"/>
  <c r="M8" i="1"/>
  <c r="M7" i="1"/>
  <c r="M5" i="1"/>
  <c r="M4" i="1"/>
  <c r="M3" i="1"/>
</calcChain>
</file>

<file path=xl/sharedStrings.xml><?xml version="1.0" encoding="utf-8"?>
<sst xmlns="http://schemas.openxmlformats.org/spreadsheetml/2006/main" count="1329" uniqueCount="691">
  <si>
    <t>Site</t>
  </si>
  <si>
    <t>L%OC</t>
  </si>
  <si>
    <t>L1245TCB</t>
  </si>
  <si>
    <t>L1234TCB</t>
  </si>
  <si>
    <t>LQCB</t>
  </si>
  <si>
    <t>LHCB</t>
  </si>
  <si>
    <t>LOCS</t>
  </si>
  <si>
    <t>LDDE</t>
  </si>
  <si>
    <t>LSPCB</t>
  </si>
  <si>
    <t>LAl</t>
  </si>
  <si>
    <t>LAs</t>
  </si>
  <si>
    <t>LBi</t>
  </si>
  <si>
    <t>LCa</t>
  </si>
  <si>
    <t>LCd</t>
  </si>
  <si>
    <t>LCo</t>
  </si>
  <si>
    <t>LCr</t>
  </si>
  <si>
    <t>LCu</t>
  </si>
  <si>
    <t>LFe</t>
  </si>
  <si>
    <t>LHg</t>
  </si>
  <si>
    <t>LK</t>
  </si>
  <si>
    <t>LMg</t>
  </si>
  <si>
    <t>LMn</t>
  </si>
  <si>
    <t>LNa</t>
  </si>
  <si>
    <t>LNi</t>
  </si>
  <si>
    <t>LPb</t>
  </si>
  <si>
    <t>LSb</t>
  </si>
  <si>
    <t>LV</t>
  </si>
  <si>
    <t>LZn</t>
  </si>
  <si>
    <t>Envirnomnental Data file case</t>
  </si>
  <si>
    <t>Integrated Code</t>
  </si>
  <si>
    <t>Site Names (all sources)</t>
  </si>
  <si>
    <t>Station No ID  (Zhang)</t>
  </si>
  <si>
    <t>Waterbody</t>
  </si>
  <si>
    <t>Year sampled</t>
  </si>
  <si>
    <t>Latitude</t>
  </si>
  <si>
    <t>Longitude</t>
  </si>
  <si>
    <t>Northing</t>
  </si>
  <si>
    <t xml:space="preserve">Easting </t>
  </si>
  <si>
    <t>Total Organic Carbon (LOI %) (from Envir Data Sheet)</t>
  </si>
  <si>
    <t>Transcription Validation (Checking that Value in Column L (Envir) matches value in Column Q (chemical))</t>
  </si>
  <si>
    <t>Contami-nant file Case</t>
  </si>
  <si>
    <t>Percent Organic Matter (from Column P)</t>
  </si>
  <si>
    <t>DR-01</t>
  </si>
  <si>
    <t>001A</t>
  </si>
  <si>
    <t>DR</t>
  </si>
  <si>
    <t>DR-02</t>
  </si>
  <si>
    <t>003ABC</t>
  </si>
  <si>
    <t>DR-03</t>
  </si>
  <si>
    <t>004ABC</t>
  </si>
  <si>
    <t>DR-04</t>
  </si>
  <si>
    <t>005ABC</t>
  </si>
  <si>
    <t>DR-05</t>
  </si>
  <si>
    <t>006B</t>
  </si>
  <si>
    <t>DR-06</t>
  </si>
  <si>
    <t>007ABC</t>
  </si>
  <si>
    <t>DR-07</t>
  </si>
  <si>
    <t>008A</t>
  </si>
  <si>
    <t>DR-08</t>
  </si>
  <si>
    <t>009B</t>
  </si>
  <si>
    <t>DR-09</t>
  </si>
  <si>
    <t>010B</t>
  </si>
  <si>
    <t>DR-10</t>
  </si>
  <si>
    <t>011A</t>
  </si>
  <si>
    <t>DR-100</t>
  </si>
  <si>
    <t>44FB</t>
  </si>
  <si>
    <t>DR-101</t>
  </si>
  <si>
    <t>45FB</t>
  </si>
  <si>
    <t>DR-102</t>
  </si>
  <si>
    <t>46FB</t>
  </si>
  <si>
    <t>DR-103</t>
  </si>
  <si>
    <t>47FB</t>
  </si>
  <si>
    <t>DR-104</t>
  </si>
  <si>
    <t>48FB</t>
  </si>
  <si>
    <t>DR-105</t>
  </si>
  <si>
    <t>49FB</t>
  </si>
  <si>
    <t>DR-106</t>
  </si>
  <si>
    <t>50FB</t>
  </si>
  <si>
    <t>DR-107</t>
  </si>
  <si>
    <t>51FB</t>
  </si>
  <si>
    <t>DR-108</t>
  </si>
  <si>
    <t>53FB</t>
  </si>
  <si>
    <t>DR-109</t>
  </si>
  <si>
    <t>021B</t>
  </si>
  <si>
    <t>DR-11</t>
  </si>
  <si>
    <t>108B</t>
  </si>
  <si>
    <t>DR-110</t>
  </si>
  <si>
    <t>5FB</t>
  </si>
  <si>
    <t>DR-111</t>
  </si>
  <si>
    <t>62FB</t>
  </si>
  <si>
    <t>DR-112</t>
  </si>
  <si>
    <t>6FB</t>
  </si>
  <si>
    <t>DR-113</t>
  </si>
  <si>
    <t>70FB</t>
  </si>
  <si>
    <t>DR-114</t>
  </si>
  <si>
    <t>71FB</t>
  </si>
  <si>
    <t>DR-115</t>
  </si>
  <si>
    <t>73FB</t>
  </si>
  <si>
    <t>DR-116</t>
  </si>
  <si>
    <t>75FB</t>
  </si>
  <si>
    <t>DR-117</t>
  </si>
  <si>
    <t>83FB</t>
  </si>
  <si>
    <t>DR-118</t>
  </si>
  <si>
    <t>84FB</t>
  </si>
  <si>
    <t>DR-119</t>
  </si>
  <si>
    <t>85FB</t>
  </si>
  <si>
    <t>DR-12</t>
  </si>
  <si>
    <t>109C</t>
  </si>
  <si>
    <t>DR-120</t>
  </si>
  <si>
    <t>022B</t>
  </si>
  <si>
    <t>DR-121</t>
  </si>
  <si>
    <t>8A</t>
  </si>
  <si>
    <t>DR-122</t>
  </si>
  <si>
    <t>9FB</t>
  </si>
  <si>
    <t>DR-123</t>
  </si>
  <si>
    <t>A</t>
  </si>
  <si>
    <t>DR-124</t>
  </si>
  <si>
    <t>B</t>
  </si>
  <si>
    <t>DR-125</t>
  </si>
  <si>
    <t>C</t>
  </si>
  <si>
    <t>DR-126</t>
  </si>
  <si>
    <t>D</t>
  </si>
  <si>
    <t>DR-127</t>
  </si>
  <si>
    <t>E</t>
  </si>
  <si>
    <t>DR-128</t>
  </si>
  <si>
    <t>F</t>
  </si>
  <si>
    <t>DR-129</t>
  </si>
  <si>
    <t>G</t>
  </si>
  <si>
    <t>DR-13</t>
  </si>
  <si>
    <t>10FB</t>
  </si>
  <si>
    <t>DR-130</t>
  </si>
  <si>
    <t>H</t>
  </si>
  <si>
    <t>DR-131</t>
  </si>
  <si>
    <t>023C</t>
  </si>
  <si>
    <t>DR-132</t>
  </si>
  <si>
    <t>I</t>
  </si>
  <si>
    <t>DR-133</t>
  </si>
  <si>
    <t>J</t>
  </si>
  <si>
    <t>DR-134</t>
  </si>
  <si>
    <t>K</t>
  </si>
  <si>
    <t>DR-135</t>
  </si>
  <si>
    <t>L</t>
  </si>
  <si>
    <t>DR-136</t>
  </si>
  <si>
    <t>M</t>
  </si>
  <si>
    <t>DR-137</t>
  </si>
  <si>
    <t>N</t>
  </si>
  <si>
    <t>DR-138</t>
  </si>
  <si>
    <t>O</t>
  </si>
  <si>
    <t>DR-139</t>
  </si>
  <si>
    <t>P</t>
  </si>
  <si>
    <t>DR-14</t>
  </si>
  <si>
    <t>110C</t>
  </si>
  <si>
    <t>DR-140</t>
  </si>
  <si>
    <t>S100</t>
  </si>
  <si>
    <t>DR-141</t>
  </si>
  <si>
    <t>S101</t>
  </si>
  <si>
    <t>DR-142</t>
  </si>
  <si>
    <t>024C</t>
  </si>
  <si>
    <t>DR-143</t>
  </si>
  <si>
    <t>S102</t>
  </si>
  <si>
    <t>DR-144</t>
  </si>
  <si>
    <t>S81</t>
  </si>
  <si>
    <t>DR-145</t>
  </si>
  <si>
    <t>S82</t>
  </si>
  <si>
    <t>DR-146</t>
  </si>
  <si>
    <t>S83</t>
  </si>
  <si>
    <t>DR-147</t>
  </si>
  <si>
    <t>S84</t>
  </si>
  <si>
    <t>DR-148</t>
  </si>
  <si>
    <t>S85</t>
  </si>
  <si>
    <t>DR-149</t>
  </si>
  <si>
    <t>S87</t>
  </si>
  <si>
    <t>DR-15</t>
  </si>
  <si>
    <t xml:space="preserve">111C </t>
  </si>
  <si>
    <t>DR-150</t>
  </si>
  <si>
    <t>S89</t>
  </si>
  <si>
    <t>DR-151</t>
  </si>
  <si>
    <t>S90</t>
  </si>
  <si>
    <t>DR-152</t>
  </si>
  <si>
    <t>S93</t>
  </si>
  <si>
    <t>DR-153</t>
  </si>
  <si>
    <t>025B</t>
  </si>
  <si>
    <t>DR-154</t>
  </si>
  <si>
    <t>S94</t>
  </si>
  <si>
    <t>DR-155</t>
  </si>
  <si>
    <t>S95</t>
  </si>
  <si>
    <t>DR-156</t>
  </si>
  <si>
    <t>S96</t>
  </si>
  <si>
    <t>DR-157</t>
  </si>
  <si>
    <t>S97</t>
  </si>
  <si>
    <t>DR-158</t>
  </si>
  <si>
    <t>S98</t>
  </si>
  <si>
    <t>DR-159</t>
  </si>
  <si>
    <t>S99</t>
  </si>
  <si>
    <t>DR-16</t>
  </si>
  <si>
    <t>113B</t>
  </si>
  <si>
    <t>DR-160</t>
  </si>
  <si>
    <t>026C</t>
  </si>
  <si>
    <t>DR-161</t>
  </si>
  <si>
    <t>027B</t>
  </si>
  <si>
    <t>DR-162</t>
  </si>
  <si>
    <t>028A</t>
  </si>
  <si>
    <t>DR-163</t>
  </si>
  <si>
    <t>029C</t>
  </si>
  <si>
    <t>DR-164</t>
  </si>
  <si>
    <t>030ABC</t>
  </si>
  <si>
    <t>DR-165</t>
  </si>
  <si>
    <t>031A</t>
  </si>
  <si>
    <t>DR-166</t>
  </si>
  <si>
    <t>032A</t>
  </si>
  <si>
    <t>DR-167</t>
  </si>
  <si>
    <t>033ABC</t>
  </si>
  <si>
    <t>DR-168</t>
  </si>
  <si>
    <t>034C</t>
  </si>
  <si>
    <t>DR-169</t>
  </si>
  <si>
    <t>035C</t>
  </si>
  <si>
    <t>DR-17</t>
  </si>
  <si>
    <t>114B</t>
  </si>
  <si>
    <t>DR-170</t>
  </si>
  <si>
    <t>036C</t>
  </si>
  <si>
    <t>DR-171</t>
  </si>
  <si>
    <t>037B</t>
  </si>
  <si>
    <t>DR-172</t>
  </si>
  <si>
    <t>038B</t>
  </si>
  <si>
    <t>DR-173</t>
  </si>
  <si>
    <t>039ABC</t>
  </si>
  <si>
    <t>DR-174</t>
  </si>
  <si>
    <t>041B</t>
  </si>
  <si>
    <t>DR-175</t>
  </si>
  <si>
    <t>042C</t>
  </si>
  <si>
    <t>DR-176</t>
  </si>
  <si>
    <t>043ABC</t>
  </si>
  <si>
    <t>DR-177</t>
  </si>
  <si>
    <t>044A</t>
  </si>
  <si>
    <t>DR-178</t>
  </si>
  <si>
    <t>045B</t>
  </si>
  <si>
    <t>DR-179</t>
  </si>
  <si>
    <t>046B</t>
  </si>
  <si>
    <t>DR-18</t>
  </si>
  <si>
    <t>115ABC</t>
  </si>
  <si>
    <t>DR-180</t>
  </si>
  <si>
    <t>047ABC</t>
  </si>
  <si>
    <t>DR-181</t>
  </si>
  <si>
    <t>048C</t>
  </si>
  <si>
    <t>DR-182</t>
  </si>
  <si>
    <t>049A</t>
  </si>
  <si>
    <t>DR-183</t>
  </si>
  <si>
    <t>050B</t>
  </si>
  <si>
    <t>DR-184</t>
  </si>
  <si>
    <t>052B</t>
  </si>
  <si>
    <t>DR-185</t>
  </si>
  <si>
    <t>053B</t>
  </si>
  <si>
    <t>DR-186</t>
  </si>
  <si>
    <t>054B</t>
  </si>
  <si>
    <t>DR-187</t>
  </si>
  <si>
    <t>055C</t>
  </si>
  <si>
    <t>DR-188</t>
  </si>
  <si>
    <t>057C</t>
  </si>
  <si>
    <t>DR-189</t>
  </si>
  <si>
    <t>058C</t>
  </si>
  <si>
    <t>DR-19</t>
  </si>
  <si>
    <t>116B</t>
  </si>
  <si>
    <t>DR-190</t>
  </si>
  <si>
    <t>059ABC</t>
  </si>
  <si>
    <t>DR-191</t>
  </si>
  <si>
    <t>060B</t>
  </si>
  <si>
    <t>DR-192</t>
  </si>
  <si>
    <t>063B</t>
  </si>
  <si>
    <t>DR-193</t>
  </si>
  <si>
    <t>064B</t>
  </si>
  <si>
    <t>DR-194</t>
  </si>
  <si>
    <t>065C</t>
  </si>
  <si>
    <t>DR-195</t>
  </si>
  <si>
    <t>066A</t>
  </si>
  <si>
    <t>DR-196</t>
  </si>
  <si>
    <t>067B</t>
  </si>
  <si>
    <t>DR-197</t>
  </si>
  <si>
    <t>068B</t>
  </si>
  <si>
    <t>DR-198</t>
  </si>
  <si>
    <t>069A</t>
  </si>
  <si>
    <t>DR-199</t>
  </si>
  <si>
    <t>070B</t>
  </si>
  <si>
    <t>DR-20</t>
  </si>
  <si>
    <t>117ABC</t>
  </si>
  <si>
    <t>DR-200</t>
  </si>
  <si>
    <t>071B</t>
  </si>
  <si>
    <t>DR-201</t>
  </si>
  <si>
    <t>072A</t>
  </si>
  <si>
    <t>DR-202</t>
  </si>
  <si>
    <t>073C</t>
  </si>
  <si>
    <t>DR-203</t>
  </si>
  <si>
    <t>074B</t>
  </si>
  <si>
    <t>DR-204</t>
  </si>
  <si>
    <t>075A</t>
  </si>
  <si>
    <t>DR-205</t>
  </si>
  <si>
    <t>076ABC</t>
  </si>
  <si>
    <t>DR-206</t>
  </si>
  <si>
    <t>077B</t>
  </si>
  <si>
    <t>DR-207</t>
  </si>
  <si>
    <t>078B</t>
  </si>
  <si>
    <t>DR-208</t>
  </si>
  <si>
    <t>079C</t>
  </si>
  <si>
    <t>DR-209</t>
  </si>
  <si>
    <t>080C</t>
  </si>
  <si>
    <t>DR-21</t>
  </si>
  <si>
    <t>012A</t>
  </si>
  <si>
    <t>DR-210</t>
  </si>
  <si>
    <t>081B</t>
  </si>
  <si>
    <t>DR-211</t>
  </si>
  <si>
    <t>082A</t>
  </si>
  <si>
    <t>DR-212</t>
  </si>
  <si>
    <t>083B</t>
  </si>
  <si>
    <t>DR-213</t>
  </si>
  <si>
    <t>084A</t>
  </si>
  <si>
    <t>DR-214</t>
  </si>
  <si>
    <t>085C</t>
  </si>
  <si>
    <t>DR-215</t>
  </si>
  <si>
    <t>086A</t>
  </si>
  <si>
    <t>DR-216</t>
  </si>
  <si>
    <t>088C</t>
  </si>
  <si>
    <t>DR-217</t>
  </si>
  <si>
    <t>089A</t>
  </si>
  <si>
    <t>DR-218</t>
  </si>
  <si>
    <t>090B</t>
  </si>
  <si>
    <t>DR-219</t>
  </si>
  <si>
    <t>091C</t>
  </si>
  <si>
    <t>DR-22</t>
  </si>
  <si>
    <t>118A</t>
  </si>
  <si>
    <t>DR-220</t>
  </si>
  <si>
    <t>092ABC</t>
  </si>
  <si>
    <t>DR-221</t>
  </si>
  <si>
    <t>093C</t>
  </si>
  <si>
    <t>DR-222</t>
  </si>
  <si>
    <t>094C</t>
  </si>
  <si>
    <t>DR-223</t>
  </si>
  <si>
    <t>095A</t>
  </si>
  <si>
    <t>DR-224</t>
  </si>
  <si>
    <t>096A</t>
  </si>
  <si>
    <t>DR-225</t>
  </si>
  <si>
    <t>097ABC</t>
  </si>
  <si>
    <t>DR-226</t>
  </si>
  <si>
    <t>098C</t>
  </si>
  <si>
    <t>DR-227</t>
  </si>
  <si>
    <t>099C</t>
  </si>
  <si>
    <t>DR-228</t>
  </si>
  <si>
    <t>100C</t>
  </si>
  <si>
    <t>DR-229</t>
  </si>
  <si>
    <t>101C</t>
  </si>
  <si>
    <t>DR-23</t>
  </si>
  <si>
    <t>119B</t>
  </si>
  <si>
    <t>DR-230</t>
  </si>
  <si>
    <t>102B</t>
  </si>
  <si>
    <t>DR-231</t>
  </si>
  <si>
    <t>103A</t>
  </si>
  <si>
    <t>DR-232</t>
  </si>
  <si>
    <t>104C</t>
  </si>
  <si>
    <t>DR-233</t>
  </si>
  <si>
    <t>105C</t>
  </si>
  <si>
    <t>DR-234</t>
  </si>
  <si>
    <t>106B</t>
  </si>
  <si>
    <t>DR-235</t>
  </si>
  <si>
    <t>107C</t>
  </si>
  <si>
    <t>DR-236</t>
  </si>
  <si>
    <t>051ABC</t>
  </si>
  <si>
    <t>DR-24</t>
  </si>
  <si>
    <t>121C</t>
  </si>
  <si>
    <t>DR-25</t>
  </si>
  <si>
    <t>122B</t>
  </si>
  <si>
    <t>DR-26</t>
  </si>
  <si>
    <t>123A</t>
  </si>
  <si>
    <t>DR-27</t>
  </si>
  <si>
    <t>124A</t>
  </si>
  <si>
    <t>DR-28</t>
  </si>
  <si>
    <t>125A</t>
  </si>
  <si>
    <t>DR-29</t>
  </si>
  <si>
    <t>126A</t>
  </si>
  <si>
    <t>DR-30</t>
  </si>
  <si>
    <t>127B</t>
  </si>
  <si>
    <t>DR-31</t>
  </si>
  <si>
    <t>128B</t>
  </si>
  <si>
    <t>DR-32</t>
  </si>
  <si>
    <t>013A</t>
  </si>
  <si>
    <t>DR-33</t>
  </si>
  <si>
    <t>129A</t>
  </si>
  <si>
    <t>DR-34</t>
  </si>
  <si>
    <t>12FB</t>
  </si>
  <si>
    <t>DR-35</t>
  </si>
  <si>
    <t>130A</t>
  </si>
  <si>
    <t>DR-36</t>
  </si>
  <si>
    <t>131B</t>
  </si>
  <si>
    <t>DR-37</t>
  </si>
  <si>
    <t>132B</t>
  </si>
  <si>
    <t>DR-38</t>
  </si>
  <si>
    <t>133B</t>
  </si>
  <si>
    <t>DR-39</t>
  </si>
  <si>
    <t>134C</t>
  </si>
  <si>
    <t>DR-40</t>
  </si>
  <si>
    <t>135A</t>
  </si>
  <si>
    <t>DR-41</t>
  </si>
  <si>
    <t>136B</t>
  </si>
  <si>
    <t>DR-42</t>
  </si>
  <si>
    <t>137A</t>
  </si>
  <si>
    <t>DR-43</t>
  </si>
  <si>
    <t>014B</t>
  </si>
  <si>
    <t>DR-44</t>
  </si>
  <si>
    <t>138B</t>
  </si>
  <si>
    <t>DR-45</t>
  </si>
  <si>
    <t>139B</t>
  </si>
  <si>
    <t>DR-46</t>
  </si>
  <si>
    <t>13FB</t>
  </si>
  <si>
    <t>DR-47</t>
  </si>
  <si>
    <t>140C</t>
  </si>
  <si>
    <t>DR-48</t>
  </si>
  <si>
    <t>141B</t>
  </si>
  <si>
    <t>DR-49</t>
  </si>
  <si>
    <t>142C</t>
  </si>
  <si>
    <t>DR-50</t>
  </si>
  <si>
    <t>143B</t>
  </si>
  <si>
    <t>DR-51</t>
  </si>
  <si>
    <t>144B</t>
  </si>
  <si>
    <t>DR-52</t>
  </si>
  <si>
    <t>145B</t>
  </si>
  <si>
    <t>DR-53</t>
  </si>
  <si>
    <t>146B</t>
  </si>
  <si>
    <t>DR-54</t>
  </si>
  <si>
    <t>015C</t>
  </si>
  <si>
    <t>DR-55</t>
  </si>
  <si>
    <t>147A</t>
  </si>
  <si>
    <t>DR-56</t>
  </si>
  <si>
    <t>148B</t>
  </si>
  <si>
    <t>DR-57</t>
  </si>
  <si>
    <t>149C</t>
  </si>
  <si>
    <t>DR-58</t>
  </si>
  <si>
    <t>14FB</t>
  </si>
  <si>
    <t>DR-59</t>
  </si>
  <si>
    <t>150B</t>
  </si>
  <si>
    <t>DR-60</t>
  </si>
  <si>
    <t>15FB</t>
  </si>
  <si>
    <t>DR-61</t>
  </si>
  <si>
    <t>16FB</t>
  </si>
  <si>
    <t>DR-62</t>
  </si>
  <si>
    <t>17FB</t>
  </si>
  <si>
    <t>DR-63</t>
  </si>
  <si>
    <t>186FB</t>
  </si>
  <si>
    <t>DR-64</t>
  </si>
  <si>
    <t>189FB</t>
  </si>
  <si>
    <t>DR-65</t>
  </si>
  <si>
    <t>016C</t>
  </si>
  <si>
    <t>DR-66</t>
  </si>
  <si>
    <t>18FB</t>
  </si>
  <si>
    <t>DR-67</t>
  </si>
  <si>
    <t>195FB</t>
  </si>
  <si>
    <t>DR-68</t>
  </si>
  <si>
    <t>198FB</t>
  </si>
  <si>
    <t>DR-69</t>
  </si>
  <si>
    <t>199FB</t>
  </si>
  <si>
    <t>DR-70</t>
  </si>
  <si>
    <t>19FB</t>
  </si>
  <si>
    <t>DR-71</t>
  </si>
  <si>
    <t>1FB</t>
  </si>
  <si>
    <t>DR-72</t>
  </si>
  <si>
    <t>200FB</t>
  </si>
  <si>
    <t>DR-73</t>
  </si>
  <si>
    <t>21FB</t>
  </si>
  <si>
    <t>DR-74</t>
  </si>
  <si>
    <t>221FB</t>
  </si>
  <si>
    <t>DR-75</t>
  </si>
  <si>
    <t>222FB</t>
  </si>
  <si>
    <t>DR-76</t>
  </si>
  <si>
    <t>017B</t>
  </si>
  <si>
    <t>DR-77</t>
  </si>
  <si>
    <t>223FB</t>
  </si>
  <si>
    <t>DR-78</t>
  </si>
  <si>
    <t>224FB</t>
  </si>
  <si>
    <t>DR-79</t>
  </si>
  <si>
    <t>22FB</t>
  </si>
  <si>
    <t>DR-80</t>
  </si>
  <si>
    <t>23FB</t>
  </si>
  <si>
    <t>DR-81</t>
  </si>
  <si>
    <t>240FB</t>
  </si>
  <si>
    <t>DR-82</t>
  </si>
  <si>
    <t>24FB</t>
  </si>
  <si>
    <t>DR-83</t>
  </si>
  <si>
    <t>25FB</t>
  </si>
  <si>
    <t>DR-84</t>
  </si>
  <si>
    <t>26FB</t>
  </si>
  <si>
    <t>DR-85</t>
  </si>
  <si>
    <t>27FB</t>
  </si>
  <si>
    <t>DR-86</t>
  </si>
  <si>
    <t>28FB</t>
  </si>
  <si>
    <t>DR-87</t>
  </si>
  <si>
    <t>018A</t>
  </si>
  <si>
    <t>DR-88</t>
  </si>
  <si>
    <t>2FB</t>
  </si>
  <si>
    <t>DR-89</t>
  </si>
  <si>
    <t>33FB</t>
  </si>
  <si>
    <t>DR-90</t>
  </si>
  <si>
    <t>34FB</t>
  </si>
  <si>
    <t>DR-91</t>
  </si>
  <si>
    <t>35FB</t>
  </si>
  <si>
    <t>DR-92</t>
  </si>
  <si>
    <t>36FB</t>
  </si>
  <si>
    <t>DR-93</t>
  </si>
  <si>
    <t>37FB</t>
  </si>
  <si>
    <t>DR-94</t>
  </si>
  <si>
    <t>39FB</t>
  </si>
  <si>
    <t>DR-95</t>
  </si>
  <si>
    <t>40FB</t>
  </si>
  <si>
    <t>DR-96</t>
  </si>
  <si>
    <t>41FB</t>
  </si>
  <si>
    <t>DR-97</t>
  </si>
  <si>
    <t>42FB</t>
  </si>
  <si>
    <t>DR-98</t>
  </si>
  <si>
    <t>019B</t>
  </si>
  <si>
    <t>DR-99</t>
  </si>
  <si>
    <t>43FB</t>
  </si>
  <si>
    <t>LSC-01</t>
  </si>
  <si>
    <t>A23</t>
  </si>
  <si>
    <t>LSC</t>
  </si>
  <si>
    <t>LSC-02</t>
  </si>
  <si>
    <t>A27</t>
  </si>
  <si>
    <t>LSC-03</t>
  </si>
  <si>
    <t>A28</t>
  </si>
  <si>
    <t>LSC-04</t>
  </si>
  <si>
    <t>A29</t>
  </si>
  <si>
    <t>LSC-05</t>
  </si>
  <si>
    <t>A53</t>
  </si>
  <si>
    <t>LSC-06</t>
  </si>
  <si>
    <t>A58</t>
  </si>
  <si>
    <t>LSC-07</t>
  </si>
  <si>
    <t>A66</t>
  </si>
  <si>
    <t>LSC-08</t>
  </si>
  <si>
    <t>DBC2</t>
  </si>
  <si>
    <t>LSC-09</t>
  </si>
  <si>
    <t>DCC2</t>
  </si>
  <si>
    <t>LSC-10</t>
  </si>
  <si>
    <t>DCE3</t>
  </si>
  <si>
    <t>LSC-11</t>
  </si>
  <si>
    <t>DJC2</t>
  </si>
  <si>
    <t>LSC-12</t>
  </si>
  <si>
    <t>GL1</t>
  </si>
  <si>
    <t>LSC-13</t>
  </si>
  <si>
    <t>MCE2</t>
  </si>
  <si>
    <t>LSC-14</t>
  </si>
  <si>
    <t>S21</t>
  </si>
  <si>
    <t>LSC-15</t>
  </si>
  <si>
    <t>S21(5)</t>
  </si>
  <si>
    <t>LSC-16</t>
  </si>
  <si>
    <t>S22</t>
  </si>
  <si>
    <t>LSC-17</t>
  </si>
  <si>
    <t>S23</t>
  </si>
  <si>
    <t>LSC-18</t>
  </si>
  <si>
    <t>S24</t>
  </si>
  <si>
    <t>LSC-19</t>
  </si>
  <si>
    <t>S25</t>
  </si>
  <si>
    <t>LSC-20</t>
  </si>
  <si>
    <t>S27</t>
  </si>
  <si>
    <t>LSC-21</t>
  </si>
  <si>
    <t>S27(5)</t>
  </si>
  <si>
    <t>LSC-22</t>
  </si>
  <si>
    <t>S28</t>
  </si>
  <si>
    <t>LSC-23</t>
  </si>
  <si>
    <t>S28(5)</t>
  </si>
  <si>
    <t>LSC-24</t>
  </si>
  <si>
    <t>S36</t>
  </si>
  <si>
    <t>LSC-25</t>
  </si>
  <si>
    <t>S37</t>
  </si>
  <si>
    <t>LSC-26</t>
  </si>
  <si>
    <t>S38</t>
  </si>
  <si>
    <t>LSC-27</t>
  </si>
  <si>
    <t>S39</t>
  </si>
  <si>
    <t>LSC-28</t>
  </si>
  <si>
    <t>S40</t>
  </si>
  <si>
    <t>LSC-29</t>
  </si>
  <si>
    <t>S41</t>
  </si>
  <si>
    <t>LSC-30</t>
  </si>
  <si>
    <t>S42</t>
  </si>
  <si>
    <t>LSC-31</t>
  </si>
  <si>
    <t>S43</t>
  </si>
  <si>
    <t>LSC-32</t>
  </si>
  <si>
    <t>S44</t>
  </si>
  <si>
    <t>LSC-33</t>
  </si>
  <si>
    <t>S45</t>
  </si>
  <si>
    <t>LSC-34</t>
  </si>
  <si>
    <t>S46</t>
  </si>
  <si>
    <t>LSC-35</t>
  </si>
  <si>
    <t>S47</t>
  </si>
  <si>
    <t>LSC-36</t>
  </si>
  <si>
    <t>S48</t>
  </si>
  <si>
    <t>LSC-37</t>
  </si>
  <si>
    <t>S49</t>
  </si>
  <si>
    <t>LSC-38</t>
  </si>
  <si>
    <t>S50</t>
  </si>
  <si>
    <t>LSC-39</t>
  </si>
  <si>
    <t>S51</t>
  </si>
  <si>
    <t>LSC-40</t>
  </si>
  <si>
    <t>S52</t>
  </si>
  <si>
    <t>LSC-41</t>
  </si>
  <si>
    <t>S53</t>
  </si>
  <si>
    <t>LSC-42</t>
  </si>
  <si>
    <t>S54</t>
  </si>
  <si>
    <t>LSC-43</t>
  </si>
  <si>
    <t>S55</t>
  </si>
  <si>
    <t>LSC-44</t>
  </si>
  <si>
    <t>S56</t>
  </si>
  <si>
    <t>LSC-45</t>
  </si>
  <si>
    <t>S57</t>
  </si>
  <si>
    <t>LSC-46</t>
  </si>
  <si>
    <t>S58</t>
  </si>
  <si>
    <t>LSC-47</t>
  </si>
  <si>
    <t>S59</t>
  </si>
  <si>
    <t>LSC-48</t>
  </si>
  <si>
    <t>S60</t>
  </si>
  <si>
    <t>LSC-49</t>
  </si>
  <si>
    <t>S61</t>
  </si>
  <si>
    <t>LSC-50</t>
  </si>
  <si>
    <t>S62</t>
  </si>
  <si>
    <t>LSC-51</t>
  </si>
  <si>
    <t>S63</t>
  </si>
  <si>
    <t>LSC-52</t>
  </si>
  <si>
    <t>S64</t>
  </si>
  <si>
    <t>LSC-53</t>
  </si>
  <si>
    <t>S65</t>
  </si>
  <si>
    <t>LSC-54</t>
  </si>
  <si>
    <t>S66</t>
  </si>
  <si>
    <t>LSC-55</t>
  </si>
  <si>
    <t>S67</t>
  </si>
  <si>
    <t>LSC-56</t>
  </si>
  <si>
    <t>S68</t>
  </si>
  <si>
    <t>LSC-57</t>
  </si>
  <si>
    <t>S69</t>
  </si>
  <si>
    <t>LSC-58</t>
  </si>
  <si>
    <t>S70</t>
  </si>
  <si>
    <t>LSC-59</t>
  </si>
  <si>
    <t>S72</t>
  </si>
  <si>
    <t>LSC-60</t>
  </si>
  <si>
    <t>S74</t>
  </si>
  <si>
    <t>LSC-61</t>
  </si>
  <si>
    <t>S78</t>
  </si>
  <si>
    <t>LSC-62</t>
  </si>
  <si>
    <t>S79</t>
  </si>
  <si>
    <t>LSC-63</t>
  </si>
  <si>
    <t>S80</t>
  </si>
  <si>
    <t>LSC-64</t>
  </si>
  <si>
    <t>UBC1</t>
  </si>
  <si>
    <t>LSC-65</t>
  </si>
  <si>
    <t>UCC1</t>
  </si>
  <si>
    <t>LSC-66</t>
  </si>
  <si>
    <t>UCE1</t>
  </si>
  <si>
    <t>LSC-67</t>
  </si>
  <si>
    <t>UJC1</t>
  </si>
  <si>
    <t>SCR-01</t>
  </si>
  <si>
    <t>A10</t>
  </si>
  <si>
    <t>SCR</t>
  </si>
  <si>
    <t>SCR-02</t>
  </si>
  <si>
    <t>A5</t>
  </si>
  <si>
    <t>SCR-03</t>
  </si>
  <si>
    <t>A6</t>
  </si>
  <si>
    <t>SCR-04</t>
  </si>
  <si>
    <t>S1</t>
  </si>
  <si>
    <t>SCR-05</t>
  </si>
  <si>
    <t>S3</t>
  </si>
  <si>
    <t>SCR-06</t>
  </si>
  <si>
    <t>S4</t>
  </si>
  <si>
    <t>SCR-07</t>
  </si>
  <si>
    <t>S5</t>
  </si>
  <si>
    <t>SCR-08</t>
  </si>
  <si>
    <t>S8</t>
  </si>
  <si>
    <t>SCR-09</t>
  </si>
  <si>
    <t>S9</t>
  </si>
  <si>
    <t>SCR-10</t>
  </si>
  <si>
    <t>S10</t>
  </si>
  <si>
    <t>SCR-11</t>
  </si>
  <si>
    <t>S11</t>
  </si>
  <si>
    <t>SCR-12</t>
  </si>
  <si>
    <t>S12</t>
  </si>
  <si>
    <t>SCR-13</t>
  </si>
  <si>
    <t>S13</t>
  </si>
  <si>
    <t>SCR-14</t>
  </si>
  <si>
    <t>S14</t>
  </si>
  <si>
    <t>SCR-15</t>
  </si>
  <si>
    <t>S15</t>
  </si>
  <si>
    <t>SCR-16</t>
  </si>
  <si>
    <t>S16</t>
  </si>
  <si>
    <t>SCR-17</t>
  </si>
  <si>
    <t>S17</t>
  </si>
  <si>
    <t>SCR-18</t>
  </si>
  <si>
    <t>S18</t>
  </si>
  <si>
    <t>SCR-19</t>
  </si>
  <si>
    <t>S19</t>
  </si>
  <si>
    <t>SCR-20</t>
  </si>
  <si>
    <t>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</si>
</sst>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13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indexed="8"/>
      <name val="宋体"/>
      <charset val="134"/>
    </font>
    <font>
      <b/>
      <sz val="11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1"/>
      <color theme="1"/>
      <name val="Calibri"/>
      <family val="2"/>
    </font>
    <font>
      <b/>
      <sz val="11"/>
      <color indexed="8"/>
      <name val="Calibri"/>
      <family val="2"/>
    </font>
    <font>
      <sz val="10"/>
      <name val="Helv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2" fillId="0" borderId="0"/>
    <xf numFmtId="0" fontId="12" fillId="0" borderId="0"/>
  </cellStyleXfs>
  <cellXfs count="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49" fontId="4" fillId="0" borderId="0" xfId="0" applyNumberFormat="1" applyFont="1" applyAlignment="1">
      <alignment horizontal="center" vertical="center" wrapText="1"/>
    </xf>
    <xf numFmtId="0" fontId="6" fillId="3" borderId="1" xfId="1" applyFont="1" applyFill="1" applyBorder="1" applyAlignment="1">
      <alignment horizontal="center" wrapText="1"/>
    </xf>
    <xf numFmtId="165" fontId="3" fillId="2" borderId="1" xfId="0" applyNumberFormat="1" applyFont="1" applyFill="1" applyBorder="1" applyAlignment="1">
      <alignment wrapText="1"/>
    </xf>
    <xf numFmtId="2" fontId="4" fillId="2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textRotation="90"/>
    </xf>
    <xf numFmtId="0" fontId="7" fillId="2" borderId="0" xfId="0" applyFont="1" applyFill="1" applyAlignment="1">
      <alignment horizontal="center" wrapText="1"/>
    </xf>
    <xf numFmtId="49" fontId="8" fillId="0" borderId="0" xfId="0" applyNumberFormat="1" applyFont="1" applyAlignment="1">
      <alignment horizontal="center" vertical="center"/>
    </xf>
    <xf numFmtId="0" fontId="6" fillId="3" borderId="0" xfId="1" applyFont="1" applyFill="1" applyAlignment="1">
      <alignment horizontal="center" wrapText="1"/>
    </xf>
    <xf numFmtId="165" fontId="3" fillId="2" borderId="0" xfId="0" applyNumberFormat="1" applyFont="1" applyFill="1" applyAlignment="1">
      <alignment wrapText="1"/>
    </xf>
    <xf numFmtId="2" fontId="4" fillId="2" borderId="0" xfId="0" applyNumberFormat="1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2" borderId="2" xfId="1" applyNumberFormat="1" applyFont="1" applyFill="1" applyBorder="1" applyAlignment="1">
      <alignment horizontal="center" vertical="center" wrapText="1"/>
    </xf>
    <xf numFmtId="0" fontId="7" fillId="0" borderId="0" xfId="0" applyFont="1"/>
    <xf numFmtId="0" fontId="10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49" fontId="11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0" fillId="2" borderId="0" xfId="0" applyFont="1" applyFill="1" applyAlignment="1">
      <alignment horizontal="center" wrapText="1"/>
    </xf>
    <xf numFmtId="2" fontId="4" fillId="2" borderId="2" xfId="0" applyNumberFormat="1" applyFont="1" applyFill="1" applyBorder="1" applyAlignment="1">
      <alignment horizontal="center" vertical="center"/>
    </xf>
    <xf numFmtId="2" fontId="6" fillId="2" borderId="2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9" fillId="0" borderId="0" xfId="0" applyNumberFormat="1" applyFont="1" applyAlignment="1">
      <alignment vertical="center"/>
    </xf>
    <xf numFmtId="164" fontId="9" fillId="2" borderId="0" xfId="0" applyNumberFormat="1" applyFont="1" applyFill="1" applyAlignment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2" xfId="1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6" fillId="0" borderId="2" xfId="1" applyNumberFormat="1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49" fontId="4" fillId="4" borderId="0" xfId="0" applyNumberFormat="1" applyFont="1" applyFill="1" applyAlignment="1">
      <alignment horizontal="center"/>
    </xf>
    <xf numFmtId="0" fontId="6" fillId="4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2" xfId="1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6" fillId="4" borderId="0" xfId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165" fontId="4" fillId="4" borderId="0" xfId="0" applyNumberFormat="1" applyFont="1" applyFill="1" applyAlignment="1">
      <alignment horizontal="center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0" xfId="1" applyNumberFormat="1" applyFont="1" applyFill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2" fontId="4" fillId="4" borderId="2" xfId="3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49" fontId="4" fillId="5" borderId="0" xfId="0" applyNumberFormat="1" applyFont="1" applyFill="1" applyAlignment="1">
      <alignment horizontal="center"/>
    </xf>
    <xf numFmtId="0" fontId="6" fillId="5" borderId="1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2" fontId="4" fillId="5" borderId="2" xfId="1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wrapText="1"/>
    </xf>
    <xf numFmtId="164" fontId="2" fillId="6" borderId="0" xfId="0" applyNumberFormat="1" applyFont="1" applyFill="1" applyAlignment="1">
      <alignment vertical="center"/>
    </xf>
  </cellXfs>
  <cellStyles count="4">
    <cellStyle name="Normal" xfId="0" builtinId="0"/>
    <cellStyle name="Normal_PCB" xfId="3" xr:uid="{80A97C23-D3A0-544C-B6B1-6F84D4F8B98E}"/>
    <cellStyle name="Normal_Pesticides" xfId="2" xr:uid="{9447253E-50F8-8948-9157-1DE7B3D6E0F5}"/>
    <cellStyle name="Normal_Sheet1" xfId="1" xr:uid="{C857069D-8E53-5B41-9A88-9E2B60540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AD59-09C6-AB4B-BD46-2BD7D32A7414}">
  <dimension ref="A1:AQ327"/>
  <sheetViews>
    <sheetView tabSelected="1" topLeftCell="AB1" zoomScale="133" workbookViewId="0">
      <selection activeCell="AR7" sqref="AR7"/>
    </sheetView>
  </sheetViews>
  <sheetFormatPr baseColWidth="10" defaultRowHeight="16"/>
  <cols>
    <col min="1" max="1" width="8.83203125" customWidth="1"/>
    <col min="2" max="2" width="10.6640625" customWidth="1"/>
    <col min="3" max="3" width="8.83203125" customWidth="1"/>
    <col min="4" max="4" width="8.83203125" style="1" customWidth="1"/>
    <col min="5" max="6" width="8.83203125" customWidth="1"/>
    <col min="8" max="8" width="11.1640625" customWidth="1"/>
    <col min="9" max="11" width="8.83203125" customWidth="1"/>
    <col min="12" max="13" width="14.1640625" customWidth="1"/>
    <col min="14" max="14" width="9.5" style="1" customWidth="1"/>
    <col min="15" max="15" width="10.6640625" style="35" customWidth="1"/>
    <col min="16" max="16" width="6.33203125" bestFit="1" customWidth="1"/>
    <col min="17" max="17" width="12.5" customWidth="1"/>
    <col min="18" max="19" width="9.5" bestFit="1" customWidth="1"/>
    <col min="20" max="23" width="5.83203125" bestFit="1" customWidth="1"/>
    <col min="24" max="24" width="7" bestFit="1" customWidth="1"/>
    <col min="25" max="25" width="6.5" bestFit="1" customWidth="1"/>
    <col min="26" max="27" width="5.5" bestFit="1" customWidth="1"/>
    <col min="28" max="28" width="6.5" bestFit="1" customWidth="1"/>
    <col min="29" max="32" width="5.5" bestFit="1" customWidth="1"/>
    <col min="33" max="36" width="6.5" bestFit="1" customWidth="1"/>
    <col min="37" max="43" width="5.5" bestFit="1" customWidth="1"/>
    <col min="44" max="241" width="8.83203125" customWidth="1"/>
  </cols>
  <sheetData>
    <row r="1" spans="1:43" ht="113">
      <c r="A1" s="4" t="s">
        <v>28</v>
      </c>
      <c r="B1" s="5" t="s">
        <v>29</v>
      </c>
      <c r="C1" s="6" t="s">
        <v>30</v>
      </c>
      <c r="D1" s="7" t="s">
        <v>31</v>
      </c>
      <c r="E1" s="5" t="s">
        <v>32</v>
      </c>
      <c r="F1" s="5" t="s">
        <v>33</v>
      </c>
      <c r="G1" s="8" t="s">
        <v>34</v>
      </c>
      <c r="H1" s="8" t="s">
        <v>35</v>
      </c>
      <c r="I1" s="5" t="s">
        <v>36</v>
      </c>
      <c r="J1" s="5" t="s">
        <v>37</v>
      </c>
      <c r="L1" s="9" t="s">
        <v>38</v>
      </c>
      <c r="M1" s="10" t="s">
        <v>39</v>
      </c>
      <c r="N1" s="2" t="s">
        <v>40</v>
      </c>
      <c r="O1" s="2" t="s">
        <v>0</v>
      </c>
      <c r="P1" s="3" t="s">
        <v>1</v>
      </c>
      <c r="Q1" s="12" t="s">
        <v>41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6</v>
      </c>
      <c r="W1" s="3" t="s">
        <v>7</v>
      </c>
      <c r="X1" s="3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17</v>
      </c>
      <c r="AH1" s="3" t="s">
        <v>18</v>
      </c>
      <c r="AI1" s="3" t="s">
        <v>19</v>
      </c>
      <c r="AJ1" s="3" t="s">
        <v>20</v>
      </c>
      <c r="AK1" s="3" t="s">
        <v>21</v>
      </c>
      <c r="AL1" s="3" t="s">
        <v>22</v>
      </c>
      <c r="AM1" s="3" t="s">
        <v>23</v>
      </c>
      <c r="AN1" s="3" t="s">
        <v>24</v>
      </c>
      <c r="AO1" s="3" t="s">
        <v>25</v>
      </c>
      <c r="AP1" s="3" t="s">
        <v>26</v>
      </c>
      <c r="AQ1" s="3" t="s">
        <v>27</v>
      </c>
    </row>
    <row r="2" spans="1:43">
      <c r="A2" s="4">
        <v>1</v>
      </c>
      <c r="B2" s="4" t="s">
        <v>42</v>
      </c>
      <c r="C2" s="13" t="s">
        <v>43</v>
      </c>
      <c r="D2" s="14" t="s">
        <v>43</v>
      </c>
      <c r="E2" s="4" t="s">
        <v>44</v>
      </c>
      <c r="F2" s="4">
        <v>1999</v>
      </c>
      <c r="G2" s="15"/>
      <c r="H2" s="15"/>
      <c r="I2" s="4"/>
      <c r="J2" s="4"/>
      <c r="L2" s="16"/>
      <c r="M2" s="17"/>
      <c r="N2" s="1">
        <v>54</v>
      </c>
      <c r="O2" s="18">
        <v>1</v>
      </c>
      <c r="P2" s="19">
        <v>0.96347412397488608</v>
      </c>
      <c r="Q2" s="20">
        <v>0.95</v>
      </c>
      <c r="R2" s="19">
        <v>0.52222801680111053</v>
      </c>
      <c r="S2" s="19">
        <v>3.2806145083241478E-2</v>
      </c>
      <c r="T2" s="19">
        <v>0.46938349865043555</v>
      </c>
      <c r="U2" s="19">
        <v>1.1957318888185662</v>
      </c>
      <c r="V2" s="19">
        <v>0.27776058820622868</v>
      </c>
      <c r="W2" s="19">
        <v>0.28070985038150048</v>
      </c>
      <c r="X2" s="19">
        <v>0.5745671171010126</v>
      </c>
      <c r="Y2" s="19">
        <v>13.172661396468696</v>
      </c>
      <c r="Z2" s="19">
        <v>4.9335707704313325</v>
      </c>
      <c r="AA2" s="19">
        <v>6.1341304748335341</v>
      </c>
      <c r="AB2" s="19">
        <v>15.520629354202592</v>
      </c>
      <c r="AC2" s="19">
        <v>1.4467020769945935</v>
      </c>
      <c r="AD2" s="19">
        <v>2.8871316764666877</v>
      </c>
      <c r="AE2" s="19">
        <v>4.2631999098309734</v>
      </c>
      <c r="AF2" s="19">
        <v>4.249589704675806</v>
      </c>
      <c r="AG2" s="19">
        <v>13.937880271514642</v>
      </c>
      <c r="AH2" s="19">
        <v>11.063781226565636</v>
      </c>
      <c r="AI2" s="19">
        <v>14.139484872849817</v>
      </c>
      <c r="AJ2" s="19">
        <v>8.0996434121902112</v>
      </c>
      <c r="AK2" s="19">
        <v>8.0729173301119896</v>
      </c>
      <c r="AL2" s="19">
        <v>4.2020690468852537</v>
      </c>
      <c r="AM2" s="19">
        <v>4.4746547597641149</v>
      </c>
      <c r="AN2" s="19">
        <v>4.9424329958993125</v>
      </c>
      <c r="AO2" s="19">
        <v>5.0417402447337389</v>
      </c>
      <c r="AP2" s="19">
        <v>5.2038559866561762</v>
      </c>
      <c r="AQ2" s="19">
        <v>5.5782116223427075E-2</v>
      </c>
    </row>
    <row r="3" spans="1:43">
      <c r="A3" s="21">
        <v>2</v>
      </c>
      <c r="B3" s="5" t="s">
        <v>45</v>
      </c>
      <c r="C3" s="13" t="s">
        <v>46</v>
      </c>
      <c r="D3" s="22" t="s">
        <v>46</v>
      </c>
      <c r="E3" s="5" t="s">
        <v>44</v>
      </c>
      <c r="F3" s="23">
        <v>1999</v>
      </c>
      <c r="G3" s="24">
        <v>42.353684979999997</v>
      </c>
      <c r="H3" s="24">
        <v>-82.944343570000001</v>
      </c>
      <c r="I3" s="25"/>
      <c r="J3" s="25"/>
      <c r="L3" s="26">
        <v>1.1399999999999999</v>
      </c>
      <c r="M3" s="17">
        <f>(L3=Q3)*1</f>
        <v>1</v>
      </c>
      <c r="N3" s="1">
        <v>53</v>
      </c>
      <c r="O3" s="18">
        <v>3</v>
      </c>
      <c r="P3" s="19">
        <v>1.0976107966264224</v>
      </c>
      <c r="Q3" s="20">
        <v>1.1400000000000001</v>
      </c>
      <c r="R3" s="19">
        <v>1.8645445751874758</v>
      </c>
      <c r="S3" s="19">
        <v>1.463217643889779</v>
      </c>
      <c r="T3" s="19">
        <v>0.63922533581034946</v>
      </c>
      <c r="U3" s="19">
        <v>2.0976994554924095</v>
      </c>
      <c r="V3" s="19">
        <v>2.8569152196770919E-2</v>
      </c>
      <c r="W3" s="19">
        <v>0.65130786428033272</v>
      </c>
      <c r="X3" s="19">
        <v>2.3141494294880518</v>
      </c>
      <c r="Y3" s="19">
        <v>12.211743782946211</v>
      </c>
      <c r="Z3" s="19">
        <v>4.6118874987271203</v>
      </c>
      <c r="AA3" s="19">
        <v>5.7702436671779802</v>
      </c>
      <c r="AB3" s="19">
        <v>15.729714063586737</v>
      </c>
      <c r="AC3" s="19">
        <v>1.1831604439894392</v>
      </c>
      <c r="AD3" s="19">
        <v>2.2183545902903283</v>
      </c>
      <c r="AE3" s="19">
        <v>3.7146657794010167</v>
      </c>
      <c r="AF3" s="19">
        <v>3.5997911896771289</v>
      </c>
      <c r="AG3" s="19">
        <v>13.457713365645029</v>
      </c>
      <c r="AH3" s="19">
        <v>9.943140396397494</v>
      </c>
      <c r="AI3" s="19">
        <v>14.107496889853286</v>
      </c>
      <c r="AJ3" s="19">
        <v>7.7909266496167744</v>
      </c>
      <c r="AK3" s="19">
        <v>8.0112857461597642</v>
      </c>
      <c r="AL3" s="19">
        <v>3.6183465771754411</v>
      </c>
      <c r="AM3" s="19">
        <v>2.4079351482455347</v>
      </c>
      <c r="AN3" s="19">
        <v>4.5625773737662474</v>
      </c>
      <c r="AO3" s="19">
        <v>4.6265975352280329</v>
      </c>
      <c r="AP3" s="19">
        <v>4.7784468025275846</v>
      </c>
      <c r="AQ3" s="19">
        <v>2.6262700356236526E-2</v>
      </c>
    </row>
    <row r="4" spans="1:43" s="11" customFormat="1">
      <c r="A4" s="4">
        <v>3</v>
      </c>
      <c r="B4" s="5" t="s">
        <v>47</v>
      </c>
      <c r="C4" s="13" t="s">
        <v>48</v>
      </c>
      <c r="D4" s="22" t="s">
        <v>48</v>
      </c>
      <c r="E4" s="5" t="s">
        <v>44</v>
      </c>
      <c r="F4" s="23">
        <v>1999</v>
      </c>
      <c r="G4" s="24">
        <v>42.35030785</v>
      </c>
      <c r="H4" s="24">
        <v>-82.934247479999996</v>
      </c>
      <c r="I4" s="25"/>
      <c r="J4" s="25"/>
      <c r="K4"/>
      <c r="L4" s="26">
        <v>0.78</v>
      </c>
      <c r="M4" s="17">
        <f>(L4=Q4)*1</f>
        <v>1</v>
      </c>
      <c r="N4" s="1">
        <v>12</v>
      </c>
      <c r="O4" s="18">
        <v>4</v>
      </c>
      <c r="P4" s="19">
        <v>0.83187724119167306</v>
      </c>
      <c r="Q4" s="20">
        <v>0.78</v>
      </c>
      <c r="R4" s="19">
        <v>0.34271169831830273</v>
      </c>
      <c r="S4" s="19">
        <v>2.882508533121365E-3</v>
      </c>
      <c r="T4" s="19">
        <v>0.46173108039077454</v>
      </c>
      <c r="U4" s="19">
        <v>0.9372282976202625</v>
      </c>
      <c r="V4" s="19">
        <v>1.4355292977070054E-2</v>
      </c>
      <c r="W4" s="19">
        <v>0.24187942222622028</v>
      </c>
      <c r="X4" s="19">
        <v>0.85944395025181475</v>
      </c>
      <c r="Y4" s="19">
        <v>11.777634303282897</v>
      </c>
      <c r="Z4" s="19">
        <v>0.87415828785001615</v>
      </c>
      <c r="AA4" s="19">
        <v>6.0580470708846107E-4</v>
      </c>
      <c r="AB4" s="19">
        <v>15.565796289519209</v>
      </c>
      <c r="AC4" s="19">
        <v>0.29244329379627926</v>
      </c>
      <c r="AD4" s="19">
        <v>2.0582583225363464</v>
      </c>
      <c r="AE4" s="19">
        <v>3.4031000025636708</v>
      </c>
      <c r="AF4" s="19">
        <v>3.2806630208383942</v>
      </c>
      <c r="AG4" s="19">
        <v>13.11491620322805</v>
      </c>
      <c r="AH4" s="19">
        <v>9.3442030424184672</v>
      </c>
      <c r="AI4" s="19">
        <v>14.044631841835724</v>
      </c>
      <c r="AJ4" s="19">
        <v>7.5299344468560969</v>
      </c>
      <c r="AK4" s="19">
        <v>5.0943870810761371</v>
      </c>
      <c r="AL4" s="19">
        <v>3.2850649213041909</v>
      </c>
      <c r="AM4" s="19">
        <v>2.1356116674813834</v>
      </c>
      <c r="AN4" s="19">
        <v>5.7696263152051458E-4</v>
      </c>
      <c r="AO4" s="19">
        <v>4.4368747153123627</v>
      </c>
      <c r="AP4" s="19">
        <v>4.2393126161188013</v>
      </c>
      <c r="AQ4" s="19">
        <v>8.0310389753400255E-2</v>
      </c>
    </row>
    <row r="5" spans="1:43" s="27" customFormat="1">
      <c r="A5" s="21">
        <v>4</v>
      </c>
      <c r="B5" s="5" t="s">
        <v>49</v>
      </c>
      <c r="C5" s="13" t="s">
        <v>50</v>
      </c>
      <c r="D5" s="22" t="s">
        <v>50</v>
      </c>
      <c r="E5" s="5" t="s">
        <v>44</v>
      </c>
      <c r="F5" s="23">
        <v>1999</v>
      </c>
      <c r="G5" s="24">
        <v>42.342433819999997</v>
      </c>
      <c r="H5" s="24">
        <v>-82.945586989999995</v>
      </c>
      <c r="I5" s="25"/>
      <c r="J5" s="25"/>
      <c r="K5"/>
      <c r="L5" s="26">
        <v>0.53</v>
      </c>
      <c r="M5" s="17">
        <f>(L5=Q5)*1</f>
        <v>1</v>
      </c>
      <c r="N5" s="1">
        <v>37</v>
      </c>
      <c r="O5" s="18">
        <v>5</v>
      </c>
      <c r="P5" s="19">
        <v>0.61353165291792711</v>
      </c>
      <c r="Q5" s="20">
        <v>0.53</v>
      </c>
      <c r="R5" s="19">
        <v>1.595999825153154</v>
      </c>
      <c r="S5" s="19">
        <v>0.42682932328284345</v>
      </c>
      <c r="T5" s="19">
        <v>0.31861579381903826</v>
      </c>
      <c r="U5" s="19">
        <v>1.6472346666240953</v>
      </c>
      <c r="V5" s="19">
        <v>3.4215715337912983E-2</v>
      </c>
      <c r="W5" s="19">
        <v>0.47710384790214838</v>
      </c>
      <c r="X5" s="19">
        <v>1.6806421611479316</v>
      </c>
      <c r="Y5" s="19">
        <v>11.842244191083816</v>
      </c>
      <c r="Z5" s="19">
        <v>3.8051763628412596</v>
      </c>
      <c r="AA5" s="19">
        <v>5.0334314877403941</v>
      </c>
      <c r="AB5" s="19">
        <v>13.972578892433114</v>
      </c>
      <c r="AC5" s="19">
        <v>0.74307427549757277</v>
      </c>
      <c r="AD5" s="19">
        <v>1.9944743646380529</v>
      </c>
      <c r="AE5" s="19">
        <v>3.3283763465999692</v>
      </c>
      <c r="AF5" s="19">
        <v>2.4561661300457707</v>
      </c>
      <c r="AG5" s="19">
        <v>12.67737751537714</v>
      </c>
      <c r="AH5" s="19">
        <v>9.184757238077685</v>
      </c>
      <c r="AI5" s="19">
        <v>13.09073318527253</v>
      </c>
      <c r="AJ5" s="19">
        <v>6.6509654840188857</v>
      </c>
      <c r="AK5" s="19">
        <v>6.8250845839624255</v>
      </c>
      <c r="AL5" s="19">
        <v>3.2989843802348888</v>
      </c>
      <c r="AM5" s="19">
        <v>1.7018895601861093</v>
      </c>
      <c r="AN5" s="19">
        <v>3.8820813203788958</v>
      </c>
      <c r="AO5" s="19">
        <v>3.7600692427301725</v>
      </c>
      <c r="AP5" s="19">
        <v>4.0195861177434811</v>
      </c>
      <c r="AQ5" s="19">
        <v>3.3484803771479964E-2</v>
      </c>
    </row>
    <row r="6" spans="1:43">
      <c r="A6" s="4">
        <v>5</v>
      </c>
      <c r="B6" s="5" t="s">
        <v>51</v>
      </c>
      <c r="C6" s="13" t="s">
        <v>52</v>
      </c>
      <c r="D6" s="22"/>
      <c r="E6" s="5" t="s">
        <v>44</v>
      </c>
      <c r="F6" s="23"/>
      <c r="G6" s="24"/>
      <c r="H6" s="24"/>
      <c r="I6" s="25"/>
      <c r="J6" s="25"/>
      <c r="L6" s="26"/>
      <c r="M6" s="17"/>
      <c r="N6" s="1">
        <v>34</v>
      </c>
      <c r="O6" s="18">
        <v>6</v>
      </c>
      <c r="P6" s="19">
        <v>0.80735492205760406</v>
      </c>
      <c r="Q6" s="20">
        <v>0.75</v>
      </c>
      <c r="R6" s="19">
        <v>1.5782997240927459E-2</v>
      </c>
      <c r="S6" s="19">
        <v>2.1479727410451392E-2</v>
      </c>
      <c r="T6" s="19">
        <v>0.18972580563400809</v>
      </c>
      <c r="U6" s="19">
        <v>0.36324005251652458</v>
      </c>
      <c r="V6" s="19">
        <v>0.59238601523410528</v>
      </c>
      <c r="W6" s="19">
        <v>0.46823553474932089</v>
      </c>
      <c r="X6" s="19">
        <v>2.6456339742608379</v>
      </c>
      <c r="Y6" s="19">
        <v>12.0888817866472</v>
      </c>
      <c r="Z6" s="19">
        <v>4.3940728107534932</v>
      </c>
      <c r="AA6" s="19">
        <v>5.4505160637642849</v>
      </c>
      <c r="AB6" s="19">
        <v>14.751638172815614</v>
      </c>
      <c r="AC6" s="19">
        <v>1.0077120681966893</v>
      </c>
      <c r="AD6" s="19">
        <v>2.3645828962262452</v>
      </c>
      <c r="AE6" s="19">
        <v>3.6995478055419762</v>
      </c>
      <c r="AF6" s="19">
        <v>2.9579848463992118</v>
      </c>
      <c r="AG6" s="19">
        <v>13.057198506942678</v>
      </c>
      <c r="AH6" s="19">
        <v>9.5541990646786417</v>
      </c>
      <c r="AI6" s="19">
        <v>13.636433531156403</v>
      </c>
      <c r="AJ6" s="19">
        <v>7.0870881773594387</v>
      </c>
      <c r="AK6" s="19">
        <v>7.0196711750285194</v>
      </c>
      <c r="AL6" s="19">
        <v>3.4088372221910084</v>
      </c>
      <c r="AM6" s="19">
        <v>2.4779577916802231</v>
      </c>
      <c r="AN6" s="19">
        <v>4.3306597844931431</v>
      </c>
      <c r="AO6" s="19">
        <v>4.386152779409489</v>
      </c>
      <c r="AP6" s="19">
        <v>4.4248908803347815</v>
      </c>
      <c r="AQ6" s="19">
        <v>4.5206524144668039E-2</v>
      </c>
    </row>
    <row r="7" spans="1:43">
      <c r="A7" s="21">
        <v>6</v>
      </c>
      <c r="B7" s="5" t="s">
        <v>53</v>
      </c>
      <c r="C7" s="13" t="s">
        <v>54</v>
      </c>
      <c r="D7" s="22" t="s">
        <v>54</v>
      </c>
      <c r="E7" s="5" t="s">
        <v>44</v>
      </c>
      <c r="F7" s="23">
        <v>1999</v>
      </c>
      <c r="G7" s="24">
        <v>42.344791379999997</v>
      </c>
      <c r="H7" s="24">
        <v>-82.936142079999996</v>
      </c>
      <c r="I7" s="25"/>
      <c r="J7" s="25"/>
      <c r="L7" s="26">
        <v>4.1733333333333338</v>
      </c>
      <c r="M7" s="17">
        <f>(L7=Q7)*1</f>
        <v>1</v>
      </c>
      <c r="N7" s="1">
        <v>104</v>
      </c>
      <c r="O7" s="18">
        <v>7</v>
      </c>
      <c r="P7" s="19">
        <v>2.3710941516912469</v>
      </c>
      <c r="Q7" s="20">
        <v>4.1733333333333338</v>
      </c>
      <c r="R7" s="19">
        <v>1.0373361285884435</v>
      </c>
      <c r="S7" s="19">
        <v>0.21566220708926886</v>
      </c>
      <c r="T7" s="19">
        <v>1.0415399214256671</v>
      </c>
      <c r="U7" s="19">
        <v>1.9238614244075873</v>
      </c>
      <c r="V7" s="19">
        <v>0.90502003681638032</v>
      </c>
      <c r="W7" s="19">
        <v>1.1026769731241379</v>
      </c>
      <c r="X7" s="19">
        <v>2.8100488617373238</v>
      </c>
      <c r="Y7" s="19">
        <v>14.31464030302555</v>
      </c>
      <c r="Z7" s="19">
        <v>5.5462690180049758</v>
      </c>
      <c r="AA7" s="19">
        <v>6.7187156986115477</v>
      </c>
      <c r="AB7" s="19">
        <v>15.714246629843565</v>
      </c>
      <c r="AC7" s="19">
        <v>2.0237917407398549</v>
      </c>
      <c r="AD7" s="19">
        <v>3.5392754930291206</v>
      </c>
      <c r="AE7" s="19">
        <v>5.0832097954045352</v>
      </c>
      <c r="AF7" s="19">
        <v>5.0078166264718478</v>
      </c>
      <c r="AG7" s="19">
        <v>14.560878983718851</v>
      </c>
      <c r="AH7" s="19">
        <v>12.167380067704601</v>
      </c>
      <c r="AI7" s="19">
        <v>14.415969059566594</v>
      </c>
      <c r="AJ7" s="19">
        <v>9.0238461738558673</v>
      </c>
      <c r="AK7" s="19">
        <v>8.5387168207821169</v>
      </c>
      <c r="AL7" s="19">
        <v>5.1112532508125206</v>
      </c>
      <c r="AM7" s="19">
        <v>4.2160774783940083</v>
      </c>
      <c r="AN7" s="19">
        <v>5.5873154768219333</v>
      </c>
      <c r="AO7" s="19">
        <v>5.6056659325912994</v>
      </c>
      <c r="AP7" s="19">
        <v>6.46975274527205</v>
      </c>
      <c r="AQ7" s="19">
        <v>0.38880983118443824</v>
      </c>
    </row>
    <row r="8" spans="1:43">
      <c r="A8" s="4">
        <v>7</v>
      </c>
      <c r="B8" s="5" t="s">
        <v>55</v>
      </c>
      <c r="C8" s="13" t="s">
        <v>56</v>
      </c>
      <c r="D8" s="22" t="s">
        <v>56</v>
      </c>
      <c r="E8" s="5" t="s">
        <v>44</v>
      </c>
      <c r="F8" s="23">
        <v>1999</v>
      </c>
      <c r="G8" s="24">
        <v>42.350944179999999</v>
      </c>
      <c r="H8" s="24">
        <v>-82.922672309999996</v>
      </c>
      <c r="I8" s="25"/>
      <c r="J8" s="25"/>
      <c r="L8" s="26">
        <v>0.82</v>
      </c>
      <c r="M8" s="17">
        <f>(L8=Q8)*1</f>
        <v>1</v>
      </c>
      <c r="N8" s="1">
        <v>10</v>
      </c>
      <c r="O8" s="18">
        <v>8</v>
      </c>
      <c r="P8" s="19">
        <v>0.86393845042397166</v>
      </c>
      <c r="Q8" s="20">
        <v>0.82000000000000006</v>
      </c>
      <c r="R8" s="19">
        <v>0.34305114342498322</v>
      </c>
      <c r="S8" s="19">
        <v>4.2644337408493722E-2</v>
      </c>
      <c r="T8" s="19">
        <v>0.44467594252263098</v>
      </c>
      <c r="U8" s="19">
        <v>1.1165078582751964</v>
      </c>
      <c r="V8" s="19">
        <v>0.28217783889797604</v>
      </c>
      <c r="W8" s="19">
        <v>0.22468545621044878</v>
      </c>
      <c r="X8" s="19">
        <v>0.79100395477756902</v>
      </c>
      <c r="Y8" s="19">
        <v>11.902601644147824</v>
      </c>
      <c r="Z8" s="19">
        <v>4.5957370147820704</v>
      </c>
      <c r="AA8" s="19">
        <v>5.5902811658637246</v>
      </c>
      <c r="AB8" s="19">
        <v>14.882604977689326</v>
      </c>
      <c r="AC8" s="19">
        <v>1.0727792755320149</v>
      </c>
      <c r="AD8" s="19">
        <v>2.1857972392817824</v>
      </c>
      <c r="AE8" s="19">
        <v>3.3738741443946476</v>
      </c>
      <c r="AF8" s="19">
        <v>3.7537770590498085</v>
      </c>
      <c r="AG8" s="19">
        <v>13.188944134326752</v>
      </c>
      <c r="AH8" s="19">
        <v>9.4524419848574794</v>
      </c>
      <c r="AI8" s="19">
        <v>13.658237077817176</v>
      </c>
      <c r="AJ8" s="19">
        <v>7.4442866124985017</v>
      </c>
      <c r="AK8" s="19">
        <v>6.5044524931978911</v>
      </c>
      <c r="AL8" s="19">
        <v>3.2585154683123152</v>
      </c>
      <c r="AM8" s="19">
        <v>1.6310285724270799</v>
      </c>
      <c r="AN8" s="19">
        <v>4.3540945204211745</v>
      </c>
      <c r="AO8" s="19">
        <v>4.3895112746505491</v>
      </c>
      <c r="AP8" s="19">
        <v>4.081745604998507</v>
      </c>
      <c r="AQ8" s="19">
        <v>4.777923381979686E-2</v>
      </c>
    </row>
    <row r="9" spans="1:43">
      <c r="A9" s="21">
        <v>8</v>
      </c>
      <c r="B9" s="5" t="s">
        <v>57</v>
      </c>
      <c r="C9" s="13" t="s">
        <v>58</v>
      </c>
      <c r="D9" s="22" t="s">
        <v>58</v>
      </c>
      <c r="E9" s="5" t="s">
        <v>44</v>
      </c>
      <c r="F9" s="23">
        <v>1999</v>
      </c>
      <c r="G9" s="24">
        <v>42.361422830000002</v>
      </c>
      <c r="H9" s="24">
        <v>-82.92022326</v>
      </c>
      <c r="I9" s="25"/>
      <c r="J9" s="25"/>
      <c r="L9" s="26">
        <v>0.96</v>
      </c>
      <c r="M9" s="17">
        <f>(L9=Q9)*1</f>
        <v>1</v>
      </c>
      <c r="N9" s="1">
        <v>165</v>
      </c>
      <c r="O9" s="18">
        <v>9</v>
      </c>
      <c r="P9" s="19">
        <v>0.97085365434048354</v>
      </c>
      <c r="Q9" s="20">
        <v>0.96000000000000019</v>
      </c>
      <c r="R9" s="19">
        <v>0.89686278717909429</v>
      </c>
      <c r="S9" s="19">
        <v>3.8436181656107918E-2</v>
      </c>
      <c r="T9" s="19">
        <v>1.3529165874224935</v>
      </c>
      <c r="U9" s="19">
        <v>2.1156164583874824</v>
      </c>
      <c r="V9" s="19">
        <v>0.67719958889830989</v>
      </c>
      <c r="W9" s="19">
        <v>2.7760520360111629</v>
      </c>
      <c r="X9" s="19">
        <v>5.7260248792047701</v>
      </c>
      <c r="Y9" s="19">
        <v>11.884098236713237</v>
      </c>
      <c r="Z9" s="19">
        <v>4.4089347734528683</v>
      </c>
      <c r="AA9" s="19">
        <v>5.4173364505060722</v>
      </c>
      <c r="AB9" s="19">
        <v>13.427235353956798</v>
      </c>
      <c r="AC9" s="19">
        <v>1.0339859252027288</v>
      </c>
      <c r="AD9" s="19">
        <v>2.3633342069362144</v>
      </c>
      <c r="AE9" s="19">
        <v>3.4200794765663338</v>
      </c>
      <c r="AF9" s="19">
        <v>3.0605447926592375</v>
      </c>
      <c r="AG9" s="19">
        <v>13.111360699129847</v>
      </c>
      <c r="AH9" s="19">
        <v>9.1827859577777602</v>
      </c>
      <c r="AI9" s="19">
        <v>12.545504782349784</v>
      </c>
      <c r="AJ9" s="19">
        <v>7.0593684029835488</v>
      </c>
      <c r="AK9" s="19">
        <v>6.8788735714240383</v>
      </c>
      <c r="AL9" s="19">
        <v>3.3691406948929026</v>
      </c>
      <c r="AM9" s="19">
        <v>2.9271800058146948</v>
      </c>
      <c r="AN9" s="19">
        <v>4.2843764557171253</v>
      </c>
      <c r="AO9" s="19">
        <v>4.2797717076404362</v>
      </c>
      <c r="AP9" s="19">
        <v>4.8307381452220248</v>
      </c>
      <c r="AQ9" s="19">
        <v>1.6423471584914154E-2</v>
      </c>
    </row>
    <row r="10" spans="1:43">
      <c r="A10" s="4">
        <v>9</v>
      </c>
      <c r="B10" s="5" t="s">
        <v>59</v>
      </c>
      <c r="C10" s="13" t="s">
        <v>60</v>
      </c>
      <c r="D10" s="22" t="s">
        <v>60</v>
      </c>
      <c r="E10" s="5" t="s">
        <v>44</v>
      </c>
      <c r="F10" s="23">
        <v>1999</v>
      </c>
      <c r="G10" s="24">
        <v>42.350205389999999</v>
      </c>
      <c r="H10" s="24">
        <v>-82.984932470000004</v>
      </c>
      <c r="I10" s="25"/>
      <c r="J10" s="25"/>
      <c r="L10" s="26">
        <v>1.43</v>
      </c>
      <c r="M10" s="17">
        <f>(L10=Q10)*1</f>
        <v>1</v>
      </c>
      <c r="N10" s="1">
        <v>33</v>
      </c>
      <c r="O10" s="18">
        <v>10</v>
      </c>
      <c r="P10" s="19">
        <v>1.280956313831056</v>
      </c>
      <c r="Q10" s="20">
        <v>1.4299999999999997</v>
      </c>
      <c r="R10" s="19">
        <v>0.32952376378102971</v>
      </c>
      <c r="S10" s="19">
        <v>2.9982866215714315E-2</v>
      </c>
      <c r="T10" s="19">
        <v>0.29307401717574605</v>
      </c>
      <c r="U10" s="19">
        <v>0.76418657652642019</v>
      </c>
      <c r="V10" s="19">
        <v>0.16581779315301395</v>
      </c>
      <c r="W10" s="19">
        <v>0.58054585810331494</v>
      </c>
      <c r="X10" s="19">
        <v>2.1921138987817708</v>
      </c>
      <c r="Y10" s="19">
        <v>12.952303270038447</v>
      </c>
      <c r="Z10" s="19">
        <v>1.8624815188725001</v>
      </c>
      <c r="AA10" s="19">
        <v>7.067474310525053E-4</v>
      </c>
      <c r="AB10" s="19">
        <v>15.464481382414986</v>
      </c>
      <c r="AC10" s="19">
        <v>0.37116297290758998</v>
      </c>
      <c r="AD10" s="19">
        <v>2.6678070304045076</v>
      </c>
      <c r="AE10" s="19">
        <v>4.0598968258333779</v>
      </c>
      <c r="AF10" s="19">
        <v>4.1499228443329397</v>
      </c>
      <c r="AG10" s="19">
        <v>13.74763845737181</v>
      </c>
      <c r="AH10" s="19">
        <v>10.763018848926675</v>
      </c>
      <c r="AI10" s="19">
        <v>13.816101739865775</v>
      </c>
      <c r="AJ10" s="19">
        <v>7.9217516974460578</v>
      </c>
      <c r="AK10" s="19">
        <v>7.4592269337183374</v>
      </c>
      <c r="AL10" s="19">
        <v>3.9703380301558413</v>
      </c>
      <c r="AM10" s="19">
        <v>2.460677163024418</v>
      </c>
      <c r="AN10" s="19">
        <v>0.78254072878277703</v>
      </c>
      <c r="AO10" s="19">
        <v>4.9680855127562769</v>
      </c>
      <c r="AP10" s="19">
        <v>5.1559624238390498</v>
      </c>
      <c r="AQ10" s="19">
        <v>4.4381592863930126E-2</v>
      </c>
    </row>
    <row r="11" spans="1:43">
      <c r="A11" s="21">
        <v>10</v>
      </c>
      <c r="B11" s="5" t="s">
        <v>61</v>
      </c>
      <c r="C11" s="13" t="s">
        <v>62</v>
      </c>
      <c r="D11" s="22" t="s">
        <v>62</v>
      </c>
      <c r="E11" s="5" t="s">
        <v>44</v>
      </c>
      <c r="F11" s="23">
        <v>1999</v>
      </c>
      <c r="G11" s="24">
        <v>42.34373987</v>
      </c>
      <c r="H11" s="24">
        <v>-82.992158439999997</v>
      </c>
      <c r="I11" s="25"/>
      <c r="J11" s="25"/>
      <c r="L11" s="26">
        <v>1.57</v>
      </c>
      <c r="M11" s="17">
        <f>(L11=Q11)*1</f>
        <v>1</v>
      </c>
      <c r="N11" s="1">
        <v>120</v>
      </c>
      <c r="O11" s="18">
        <v>11</v>
      </c>
      <c r="P11" s="19">
        <v>1.3617683594191536</v>
      </c>
      <c r="Q11" s="20">
        <v>1.5700000000000003</v>
      </c>
      <c r="R11" s="19">
        <v>0.78988130777793009</v>
      </c>
      <c r="S11" s="19">
        <v>0.1590567240547712</v>
      </c>
      <c r="T11" s="19">
        <v>0.85119863739714829</v>
      </c>
      <c r="U11" s="19">
        <v>1.725803749184627</v>
      </c>
      <c r="V11" s="19">
        <v>0.58617557955749156</v>
      </c>
      <c r="W11" s="19">
        <v>1.3214626181067151</v>
      </c>
      <c r="X11" s="19">
        <v>4.6364620242658585</v>
      </c>
      <c r="Y11" s="19">
        <v>12.361930378841034</v>
      </c>
      <c r="Z11" s="19">
        <v>0.30943172142210429</v>
      </c>
      <c r="AA11" s="19">
        <v>8.2210189651821047E-4</v>
      </c>
      <c r="AB11" s="19">
        <v>14.727119661032354</v>
      </c>
      <c r="AC11" s="19">
        <v>0.33514268582180862</v>
      </c>
      <c r="AD11" s="19">
        <v>2.2678439709504108</v>
      </c>
      <c r="AE11" s="19">
        <v>3.7382053524192353</v>
      </c>
      <c r="AF11" s="19">
        <v>4.0226658375059472</v>
      </c>
      <c r="AG11" s="19">
        <v>13.283058855578824</v>
      </c>
      <c r="AH11" s="19">
        <v>10.139554420610636</v>
      </c>
      <c r="AI11" s="19">
        <v>13.573920675320558</v>
      </c>
      <c r="AJ11" s="19">
        <v>7.4271545772176442</v>
      </c>
      <c r="AK11" s="19">
        <v>6.3478323094867166</v>
      </c>
      <c r="AL11" s="19">
        <v>3.5729252662278719</v>
      </c>
      <c r="AM11" s="19">
        <v>3.2893059300271719</v>
      </c>
      <c r="AN11" s="19">
        <v>0.5741924864545529</v>
      </c>
      <c r="AO11" s="19">
        <v>4.5163522886660381</v>
      </c>
      <c r="AP11" s="19">
        <v>5.1576423121818875</v>
      </c>
      <c r="AQ11" s="19">
        <v>0.11754924465303881</v>
      </c>
    </row>
    <row r="12" spans="1:43" s="1" customFormat="1">
      <c r="A12" s="28">
        <v>100</v>
      </c>
      <c r="B12" s="29" t="s">
        <v>63</v>
      </c>
      <c r="C12" s="30" t="s">
        <v>64</v>
      </c>
      <c r="D12" s="22" t="s">
        <v>64</v>
      </c>
      <c r="E12" s="29" t="s">
        <v>44</v>
      </c>
      <c r="F12" s="31">
        <v>1991</v>
      </c>
      <c r="G12" s="32">
        <v>42.108888890000003</v>
      </c>
      <c r="H12" s="32">
        <v>-83.114722222222198</v>
      </c>
      <c r="I12" s="33"/>
      <c r="J12" s="33"/>
      <c r="L12" s="34">
        <v>2.2999999999999998</v>
      </c>
      <c r="O12" s="35"/>
    </row>
    <row r="13" spans="1:43" s="1" customFormat="1">
      <c r="A13" s="36">
        <v>101</v>
      </c>
      <c r="B13" s="29" t="s">
        <v>65</v>
      </c>
      <c r="C13" s="30" t="s">
        <v>66</v>
      </c>
      <c r="D13" s="22" t="s">
        <v>66</v>
      </c>
      <c r="E13" s="29" t="s">
        <v>44</v>
      </c>
      <c r="F13" s="31">
        <v>1991</v>
      </c>
      <c r="G13" s="32">
        <v>42.087499999999999</v>
      </c>
      <c r="H13" s="32">
        <v>-83.113055555555604</v>
      </c>
      <c r="I13" s="33"/>
      <c r="J13" s="33"/>
      <c r="L13" s="34">
        <v>3.6</v>
      </c>
      <c r="O13" s="35"/>
    </row>
    <row r="14" spans="1:43" s="1" customFormat="1">
      <c r="A14" s="28">
        <v>102</v>
      </c>
      <c r="B14" s="29" t="s">
        <v>67</v>
      </c>
      <c r="C14" s="30" t="s">
        <v>68</v>
      </c>
      <c r="D14" s="22" t="s">
        <v>68</v>
      </c>
      <c r="E14" s="29" t="s">
        <v>44</v>
      </c>
      <c r="F14" s="31">
        <v>1991</v>
      </c>
      <c r="G14" s="32">
        <v>42.099722219999997</v>
      </c>
      <c r="H14" s="32">
        <v>-83.1794444444444</v>
      </c>
      <c r="I14" s="33"/>
      <c r="J14" s="33"/>
      <c r="L14" s="34">
        <v>1.5</v>
      </c>
      <c r="O14" s="35"/>
    </row>
    <row r="15" spans="1:43" s="1" customFormat="1">
      <c r="A15" s="36">
        <v>103</v>
      </c>
      <c r="B15" s="29" t="s">
        <v>69</v>
      </c>
      <c r="C15" s="30" t="s">
        <v>70</v>
      </c>
      <c r="D15" s="22" t="s">
        <v>70</v>
      </c>
      <c r="E15" s="29" t="s">
        <v>44</v>
      </c>
      <c r="F15" s="31">
        <v>1991</v>
      </c>
      <c r="G15" s="32">
        <v>42.055</v>
      </c>
      <c r="H15" s="32">
        <v>-83.124722222222204</v>
      </c>
      <c r="I15" s="33"/>
      <c r="J15" s="33"/>
      <c r="L15" s="34">
        <v>0.49</v>
      </c>
      <c r="O15" s="35"/>
    </row>
    <row r="16" spans="1:43" s="1" customFormat="1">
      <c r="A16" s="28">
        <v>104</v>
      </c>
      <c r="B16" s="29" t="s">
        <v>71</v>
      </c>
      <c r="C16" s="30" t="s">
        <v>72</v>
      </c>
      <c r="D16" s="22" t="s">
        <v>72</v>
      </c>
      <c r="E16" s="29" t="s">
        <v>44</v>
      </c>
      <c r="F16" s="31">
        <v>1991</v>
      </c>
      <c r="G16" s="32">
        <v>42.055277779999997</v>
      </c>
      <c r="H16" s="32">
        <v>-83.135555555555598</v>
      </c>
      <c r="I16" s="33"/>
      <c r="J16" s="33"/>
      <c r="L16" s="34">
        <v>1.2</v>
      </c>
      <c r="O16" s="35"/>
    </row>
    <row r="17" spans="1:43" s="1" customFormat="1">
      <c r="A17" s="36">
        <v>105</v>
      </c>
      <c r="B17" s="29" t="s">
        <v>73</v>
      </c>
      <c r="C17" s="30" t="s">
        <v>74</v>
      </c>
      <c r="D17" s="22" t="s">
        <v>74</v>
      </c>
      <c r="E17" s="29" t="s">
        <v>44</v>
      </c>
      <c r="F17" s="31">
        <v>1991</v>
      </c>
      <c r="G17" s="32">
        <v>42.054722220000002</v>
      </c>
      <c r="H17" s="32">
        <v>-83.149722222222195</v>
      </c>
      <c r="I17" s="33"/>
      <c r="J17" s="33"/>
      <c r="L17" s="34">
        <v>2.5</v>
      </c>
      <c r="O17" s="35"/>
    </row>
    <row r="18" spans="1:43" s="1" customFormat="1">
      <c r="A18" s="28">
        <v>106</v>
      </c>
      <c r="B18" s="29" t="s">
        <v>75</v>
      </c>
      <c r="C18" s="30" t="s">
        <v>76</v>
      </c>
      <c r="D18" s="22" t="s">
        <v>76</v>
      </c>
      <c r="E18" s="29" t="s">
        <v>44</v>
      </c>
      <c r="F18" s="31">
        <v>1991</v>
      </c>
      <c r="G18" s="32">
        <v>42.054722220000002</v>
      </c>
      <c r="H18" s="32">
        <v>-83.163611111111095</v>
      </c>
      <c r="I18" s="33"/>
      <c r="J18" s="33"/>
      <c r="L18" s="34">
        <v>1.6</v>
      </c>
      <c r="O18" s="35"/>
    </row>
    <row r="19" spans="1:43" s="1" customFormat="1">
      <c r="A19" s="36">
        <v>107</v>
      </c>
      <c r="B19" s="29" t="s">
        <v>77</v>
      </c>
      <c r="C19" s="30" t="s">
        <v>78</v>
      </c>
      <c r="D19" s="22" t="s">
        <v>78</v>
      </c>
      <c r="E19" s="29" t="s">
        <v>44</v>
      </c>
      <c r="F19" s="31">
        <v>1991</v>
      </c>
      <c r="G19" s="32">
        <v>42.137222219999998</v>
      </c>
      <c r="H19" s="32">
        <v>-83.132499999999993</v>
      </c>
      <c r="I19" s="33"/>
      <c r="J19" s="33"/>
      <c r="L19" s="34">
        <v>2.9</v>
      </c>
      <c r="O19" s="35"/>
    </row>
    <row r="20" spans="1:43" s="1" customFormat="1">
      <c r="A20" s="28">
        <v>108</v>
      </c>
      <c r="B20" s="29" t="s">
        <v>79</v>
      </c>
      <c r="C20" s="30" t="s">
        <v>80</v>
      </c>
      <c r="D20" s="22" t="s">
        <v>80</v>
      </c>
      <c r="E20" s="29" t="s">
        <v>44</v>
      </c>
      <c r="F20" s="31">
        <v>1991</v>
      </c>
      <c r="G20" s="32">
        <v>42.153333330000002</v>
      </c>
      <c r="H20" s="32">
        <v>-83.136388888888902</v>
      </c>
      <c r="I20" s="33"/>
      <c r="J20" s="33"/>
      <c r="L20" s="34">
        <v>1.9</v>
      </c>
      <c r="O20" s="35"/>
    </row>
    <row r="21" spans="1:43">
      <c r="A21" s="4">
        <v>109</v>
      </c>
      <c r="B21" s="5" t="s">
        <v>81</v>
      </c>
      <c r="C21" s="13" t="s">
        <v>82</v>
      </c>
      <c r="D21" s="22" t="s">
        <v>82</v>
      </c>
      <c r="E21" s="5" t="s">
        <v>44</v>
      </c>
      <c r="F21" s="23">
        <v>1999</v>
      </c>
      <c r="G21" s="24">
        <v>42.333326489999997</v>
      </c>
      <c r="H21" s="24">
        <v>-82.985068990000002</v>
      </c>
      <c r="I21" s="25"/>
      <c r="J21" s="25"/>
      <c r="L21" s="26">
        <v>0.97</v>
      </c>
      <c r="M21" s="17">
        <f>(L21=Q21)*1</f>
        <v>1</v>
      </c>
      <c r="N21" s="1">
        <v>13</v>
      </c>
      <c r="O21" s="18">
        <v>21</v>
      </c>
      <c r="P21" s="19">
        <v>0.97819562968165152</v>
      </c>
      <c r="Q21" s="20">
        <v>0.97</v>
      </c>
      <c r="R21" s="19">
        <v>0.20447542576613159</v>
      </c>
      <c r="S21" s="19">
        <v>1.0063683344697479E-2</v>
      </c>
      <c r="T21" s="19">
        <v>0.33780102183944222</v>
      </c>
      <c r="U21" s="19">
        <v>0.99319681236039825</v>
      </c>
      <c r="V21" s="19">
        <v>2.0057652341253476E-2</v>
      </c>
      <c r="W21" s="19">
        <v>0.32148614203077874</v>
      </c>
      <c r="X21" s="19">
        <v>0.92719068017090789</v>
      </c>
      <c r="Y21" s="19">
        <v>11.260902445662476</v>
      </c>
      <c r="Z21" s="19">
        <v>4.1735297506605722</v>
      </c>
      <c r="AA21" s="19">
        <v>5.1337643448570169</v>
      </c>
      <c r="AB21" s="19">
        <v>15.346497034413851</v>
      </c>
      <c r="AC21" s="19">
        <v>0.80617499107190893</v>
      </c>
      <c r="AD21" s="19">
        <v>1.7935077677706011</v>
      </c>
      <c r="AE21" s="19">
        <v>2.5989756251558598</v>
      </c>
      <c r="AF21" s="19">
        <v>3.2866126610233137</v>
      </c>
      <c r="AG21" s="19">
        <v>12.729884923899153</v>
      </c>
      <c r="AH21" s="19">
        <v>8.5432925418003212</v>
      </c>
      <c r="AI21" s="19">
        <v>13.755120195995858</v>
      </c>
      <c r="AJ21" s="19">
        <v>7.6136269460299388</v>
      </c>
      <c r="AK21" s="19">
        <v>5.8986996899445865</v>
      </c>
      <c r="AL21" s="19">
        <v>3.1122482179643631</v>
      </c>
      <c r="AM21" s="19">
        <v>2.0586370758070394</v>
      </c>
      <c r="AN21" s="19">
        <v>3.9828377353780953</v>
      </c>
      <c r="AO21" s="19">
        <v>3.7370480506026822</v>
      </c>
      <c r="AP21" s="19">
        <v>4.2266504569135641</v>
      </c>
      <c r="AQ21" s="19">
        <v>1.6024778947304846E-2</v>
      </c>
    </row>
    <row r="22" spans="1:43">
      <c r="A22" s="4">
        <v>11</v>
      </c>
      <c r="B22" s="5" t="s">
        <v>83</v>
      </c>
      <c r="C22" s="13" t="s">
        <v>84</v>
      </c>
      <c r="D22" s="22" t="s">
        <v>84</v>
      </c>
      <c r="E22" s="5" t="s">
        <v>44</v>
      </c>
      <c r="F22" s="23">
        <v>1999</v>
      </c>
      <c r="G22" s="24">
        <v>42.115427109999999</v>
      </c>
      <c r="H22" s="24">
        <v>-83.121418300000002</v>
      </c>
      <c r="I22" s="25"/>
      <c r="J22" s="25"/>
      <c r="L22" s="26">
        <v>6.91</v>
      </c>
      <c r="M22" s="17">
        <f>(L22=Q22)*1</f>
        <v>1</v>
      </c>
      <c r="N22" s="1">
        <v>156</v>
      </c>
      <c r="O22" s="18">
        <v>108</v>
      </c>
      <c r="P22" s="19">
        <v>2.9836776946980672</v>
      </c>
      <c r="Q22" s="20">
        <v>6.91</v>
      </c>
      <c r="R22" s="19">
        <v>2.0943588480316353</v>
      </c>
      <c r="S22" s="19">
        <v>0.36505663193360294</v>
      </c>
      <c r="T22" s="19">
        <v>1.9718896350033599</v>
      </c>
      <c r="U22" s="19">
        <v>2.7948340178349214</v>
      </c>
      <c r="V22" s="19">
        <v>2.0889762879886171</v>
      </c>
      <c r="W22" s="19">
        <v>2.2268517267011587</v>
      </c>
      <c r="X22" s="19">
        <v>4.4541883639968161</v>
      </c>
      <c r="Y22" s="19">
        <v>14.801889865694189</v>
      </c>
      <c r="Z22" s="19">
        <v>1.4204775135046337</v>
      </c>
      <c r="AA22" s="19">
        <v>6.490667393343095E-4</v>
      </c>
      <c r="AB22" s="19">
        <v>16.05055225412389</v>
      </c>
      <c r="AC22" s="19">
        <v>1.0952770364320055</v>
      </c>
      <c r="AD22" s="19">
        <v>3.87050219173809</v>
      </c>
      <c r="AE22" s="19">
        <v>5.627748390440849</v>
      </c>
      <c r="AF22" s="19">
        <v>6.0676230496758059</v>
      </c>
      <c r="AG22" s="19">
        <v>15.042757690950607</v>
      </c>
      <c r="AH22" s="19">
        <v>12.749087412238072</v>
      </c>
      <c r="AI22" s="19">
        <v>14.60488419414126</v>
      </c>
      <c r="AJ22" s="19">
        <v>9.0979432089581849</v>
      </c>
      <c r="AK22" s="19">
        <v>8.3733135255872657</v>
      </c>
      <c r="AL22" s="19">
        <v>5.6266361353350902</v>
      </c>
      <c r="AM22" s="19">
        <v>4.7738727495031474</v>
      </c>
      <c r="AN22" s="19">
        <v>1.2768336399078712</v>
      </c>
      <c r="AO22" s="19">
        <v>6.1633111467453521</v>
      </c>
      <c r="AP22" s="19">
        <v>7.1405713115390439</v>
      </c>
      <c r="AQ22" s="19">
        <v>0.71636217113813405</v>
      </c>
    </row>
    <row r="23" spans="1:43">
      <c r="A23" s="21">
        <v>110</v>
      </c>
      <c r="B23" s="5" t="s">
        <v>85</v>
      </c>
      <c r="C23" s="13" t="s">
        <v>86</v>
      </c>
      <c r="D23" s="22" t="s">
        <v>86</v>
      </c>
      <c r="E23" s="5" t="s">
        <v>44</v>
      </c>
      <c r="F23" s="23">
        <v>1991</v>
      </c>
      <c r="G23" s="24">
        <v>42.353611110000003</v>
      </c>
      <c r="H23" s="24">
        <v>-82.958888888888893</v>
      </c>
      <c r="I23" s="25"/>
      <c r="J23" s="25"/>
      <c r="L23" s="37">
        <v>1.3</v>
      </c>
    </row>
    <row r="24" spans="1:43">
      <c r="A24" s="4">
        <v>111</v>
      </c>
      <c r="B24" s="5" t="s">
        <v>87</v>
      </c>
      <c r="C24" s="13" t="s">
        <v>88</v>
      </c>
      <c r="D24" s="22" t="s">
        <v>88</v>
      </c>
      <c r="E24" s="5" t="s">
        <v>44</v>
      </c>
      <c r="F24" s="23">
        <v>1991</v>
      </c>
      <c r="G24" s="24">
        <v>42.246111110000001</v>
      </c>
      <c r="H24" s="24">
        <v>-83.130555555555603</v>
      </c>
      <c r="I24" s="25"/>
      <c r="J24" s="25"/>
      <c r="L24" s="37">
        <v>7.7</v>
      </c>
    </row>
    <row r="25" spans="1:43">
      <c r="A25" s="21">
        <v>112</v>
      </c>
      <c r="B25" s="5" t="s">
        <v>89</v>
      </c>
      <c r="C25" s="13" t="s">
        <v>90</v>
      </c>
      <c r="D25" s="22" t="s">
        <v>90</v>
      </c>
      <c r="E25" s="5" t="s">
        <v>44</v>
      </c>
      <c r="F25" s="23">
        <v>1991</v>
      </c>
      <c r="G25" s="24">
        <v>42.335555560000003</v>
      </c>
      <c r="H25" s="24">
        <v>-82.956666666666706</v>
      </c>
      <c r="I25" s="25"/>
      <c r="J25" s="25"/>
      <c r="L25" s="37">
        <v>3.6</v>
      </c>
    </row>
    <row r="26" spans="1:43">
      <c r="A26" s="4">
        <v>113</v>
      </c>
      <c r="B26" s="5" t="s">
        <v>91</v>
      </c>
      <c r="C26" s="13" t="s">
        <v>92</v>
      </c>
      <c r="D26" s="22" t="s">
        <v>92</v>
      </c>
      <c r="E26" s="5" t="s">
        <v>44</v>
      </c>
      <c r="F26" s="23">
        <v>1991</v>
      </c>
      <c r="G26" s="24">
        <v>42.078888890000002</v>
      </c>
      <c r="H26" s="24">
        <v>-83.183611111111105</v>
      </c>
      <c r="I26" s="25"/>
      <c r="J26" s="25"/>
      <c r="L26" s="37">
        <v>1.8</v>
      </c>
    </row>
    <row r="27" spans="1:43">
      <c r="A27" s="21">
        <v>114</v>
      </c>
      <c r="B27" s="5" t="s">
        <v>93</v>
      </c>
      <c r="C27" s="13" t="s">
        <v>94</v>
      </c>
      <c r="D27" s="22" t="s">
        <v>94</v>
      </c>
      <c r="E27" s="5" t="s">
        <v>44</v>
      </c>
      <c r="F27" s="23">
        <v>1991</v>
      </c>
      <c r="G27" s="24">
        <v>42.111666669999998</v>
      </c>
      <c r="H27" s="24">
        <v>-83.186666666666696</v>
      </c>
      <c r="I27" s="25"/>
      <c r="J27" s="25"/>
      <c r="L27" s="37">
        <v>2.1</v>
      </c>
    </row>
    <row r="28" spans="1:43">
      <c r="A28" s="4">
        <v>115</v>
      </c>
      <c r="B28" s="5" t="s">
        <v>95</v>
      </c>
      <c r="C28" s="13"/>
      <c r="D28" s="22" t="s">
        <v>96</v>
      </c>
      <c r="E28" s="5" t="s">
        <v>44</v>
      </c>
      <c r="F28" s="23">
        <v>1991</v>
      </c>
      <c r="G28" s="24">
        <v>42.172222220000002</v>
      </c>
      <c r="H28" s="24">
        <v>-83.165277777777803</v>
      </c>
      <c r="I28" s="25"/>
      <c r="J28" s="25"/>
      <c r="L28" s="37">
        <v>6.833333333333333</v>
      </c>
    </row>
    <row r="29" spans="1:43">
      <c r="A29" s="21">
        <v>116</v>
      </c>
      <c r="B29" s="5" t="s">
        <v>97</v>
      </c>
      <c r="C29" s="13"/>
      <c r="D29" s="22" t="s">
        <v>98</v>
      </c>
      <c r="E29" s="5" t="s">
        <v>44</v>
      </c>
      <c r="F29" s="23">
        <v>1991</v>
      </c>
      <c r="G29" s="24">
        <v>42.234722220000002</v>
      </c>
      <c r="H29" s="24">
        <v>-83.147777777777804</v>
      </c>
      <c r="I29" s="25"/>
      <c r="J29" s="25"/>
      <c r="L29" s="37">
        <v>3.3</v>
      </c>
    </row>
    <row r="30" spans="1:43">
      <c r="A30" s="4">
        <v>117</v>
      </c>
      <c r="B30" s="5" t="s">
        <v>99</v>
      </c>
      <c r="C30" s="13"/>
      <c r="D30" s="22" t="s">
        <v>100</v>
      </c>
      <c r="E30" s="5" t="s">
        <v>44</v>
      </c>
      <c r="F30" s="23">
        <v>1991</v>
      </c>
      <c r="G30" s="24">
        <v>42.28833333</v>
      </c>
      <c r="H30" s="24">
        <v>-83.103055555555599</v>
      </c>
      <c r="I30" s="25"/>
      <c r="J30" s="25"/>
      <c r="L30" s="37">
        <v>8</v>
      </c>
    </row>
    <row r="31" spans="1:43">
      <c r="A31" s="21">
        <v>118</v>
      </c>
      <c r="B31" s="5" t="s">
        <v>101</v>
      </c>
      <c r="C31" s="13" t="s">
        <v>102</v>
      </c>
      <c r="D31" s="22" t="s">
        <v>102</v>
      </c>
      <c r="E31" s="5" t="s">
        <v>44</v>
      </c>
      <c r="F31" s="23">
        <v>1991</v>
      </c>
      <c r="G31" s="24">
        <v>42.275555560000001</v>
      </c>
      <c r="H31" s="24">
        <v>-83.109722222222203</v>
      </c>
      <c r="I31" s="25"/>
      <c r="J31" s="25"/>
      <c r="L31" s="37">
        <v>7.5</v>
      </c>
    </row>
    <row r="32" spans="1:43">
      <c r="A32" s="4">
        <v>119</v>
      </c>
      <c r="B32" s="5" t="s">
        <v>103</v>
      </c>
      <c r="C32" s="13"/>
      <c r="D32" s="22" t="s">
        <v>104</v>
      </c>
      <c r="E32" s="5" t="s">
        <v>44</v>
      </c>
      <c r="F32" s="23">
        <v>1991</v>
      </c>
      <c r="G32" s="24">
        <v>42.175555559999999</v>
      </c>
      <c r="H32" s="24">
        <v>-83.163055555555601</v>
      </c>
      <c r="I32" s="25"/>
      <c r="J32" s="25"/>
      <c r="L32" s="37">
        <v>5.0999999999999996</v>
      </c>
    </row>
    <row r="33" spans="1:43">
      <c r="A33" s="21">
        <v>12</v>
      </c>
      <c r="B33" s="5" t="s">
        <v>105</v>
      </c>
      <c r="C33" s="13" t="s">
        <v>106</v>
      </c>
      <c r="D33" s="22" t="s">
        <v>106</v>
      </c>
      <c r="E33" s="5" t="s">
        <v>44</v>
      </c>
      <c r="F33" s="23">
        <v>1999</v>
      </c>
      <c r="G33" s="24">
        <v>42.144026519999997</v>
      </c>
      <c r="H33" s="24">
        <v>-83.116721940000005</v>
      </c>
      <c r="I33" s="25"/>
      <c r="J33" s="25"/>
      <c r="L33" s="26">
        <v>1.1000000000000001</v>
      </c>
      <c r="M33" s="17">
        <f>(L33=Q33)*1</f>
        <v>1</v>
      </c>
      <c r="N33" s="1">
        <v>66</v>
      </c>
      <c r="O33" s="18">
        <v>109</v>
      </c>
      <c r="P33" s="19">
        <v>1.0703893278913981</v>
      </c>
      <c r="Q33" s="20">
        <v>1.1000000000000001</v>
      </c>
      <c r="R33" s="19">
        <v>0.56448078881977992</v>
      </c>
      <c r="S33" s="19">
        <v>8.9675829826969783E-2</v>
      </c>
      <c r="T33" s="19">
        <v>0.68650755229498106</v>
      </c>
      <c r="U33" s="19">
        <v>1.685126804081023</v>
      </c>
      <c r="V33" s="19">
        <v>0.40522103526174824</v>
      </c>
      <c r="W33" s="19">
        <v>0.573536171743812</v>
      </c>
      <c r="X33" s="19">
        <v>3.7034522014811722</v>
      </c>
      <c r="Y33" s="19">
        <v>11.837892731353698</v>
      </c>
      <c r="Z33" s="19">
        <v>1.559840190793065</v>
      </c>
      <c r="AA33" s="19">
        <v>2.3081274201514458E-4</v>
      </c>
      <c r="AB33" s="19">
        <v>15.31904967420912</v>
      </c>
      <c r="AC33" s="19">
        <v>0.34265900321365184</v>
      </c>
      <c r="AD33" s="19">
        <v>2.0922571611214953</v>
      </c>
      <c r="AE33" s="19">
        <v>3.573645865446097</v>
      </c>
      <c r="AF33" s="19">
        <v>3.4165243123466857</v>
      </c>
      <c r="AG33" s="19">
        <v>13.099901376892589</v>
      </c>
      <c r="AH33" s="19">
        <v>9.3568460882526381</v>
      </c>
      <c r="AI33" s="19">
        <v>13.710073623607782</v>
      </c>
      <c r="AJ33" s="19">
        <v>7.5990039938306806</v>
      </c>
      <c r="AK33" s="19">
        <v>6.4273272691943939</v>
      </c>
      <c r="AL33" s="19">
        <v>3.388192016876157</v>
      </c>
      <c r="AM33" s="19">
        <v>2.9297844585419792</v>
      </c>
      <c r="AN33" s="19">
        <v>0.21745921740482746</v>
      </c>
      <c r="AO33" s="19">
        <v>4.0200762981590241</v>
      </c>
      <c r="AP33" s="19">
        <v>5.0207946773053926</v>
      </c>
      <c r="AQ33" s="19">
        <v>0.36461354207569741</v>
      </c>
    </row>
    <row r="34" spans="1:43" s="1" customFormat="1">
      <c r="A34" s="28">
        <v>120</v>
      </c>
      <c r="B34" s="29" t="s">
        <v>107</v>
      </c>
      <c r="C34" s="30" t="s">
        <v>108</v>
      </c>
      <c r="D34" s="22" t="s">
        <v>108</v>
      </c>
      <c r="E34" s="29" t="s">
        <v>44</v>
      </c>
      <c r="F34" s="31">
        <v>1999</v>
      </c>
      <c r="G34" s="32">
        <v>42.332879939999998</v>
      </c>
      <c r="H34" s="32">
        <v>-82.98017566</v>
      </c>
      <c r="I34" s="33"/>
      <c r="J34" s="33"/>
      <c r="L34" s="38">
        <v>1.665</v>
      </c>
      <c r="M34" s="39">
        <f>(L34=Q34)*1</f>
        <v>1</v>
      </c>
      <c r="N34" s="1">
        <v>3</v>
      </c>
      <c r="O34" s="18">
        <v>22</v>
      </c>
      <c r="P34" s="40">
        <v>1.4141355329844512</v>
      </c>
      <c r="Q34" s="41">
        <v>1.665</v>
      </c>
      <c r="R34" s="40">
        <v>0.36049802690359078</v>
      </c>
      <c r="S34" s="40">
        <v>1.1495638837829437E-2</v>
      </c>
      <c r="T34" s="40">
        <v>0.23061461636688427</v>
      </c>
      <c r="U34" s="40">
        <v>0.81543418598108797</v>
      </c>
      <c r="V34" s="40">
        <v>0.29775653883256614</v>
      </c>
      <c r="W34" s="40">
        <v>0.24265154025273372</v>
      </c>
      <c r="X34" s="40">
        <v>0.37518959840711158</v>
      </c>
      <c r="Y34" s="40">
        <v>13.851509079503133</v>
      </c>
      <c r="Z34" s="40">
        <v>4.1165960696332329</v>
      </c>
      <c r="AA34" s="40">
        <v>5.0399582284415843</v>
      </c>
      <c r="AB34" s="40">
        <v>16.297930412426002</v>
      </c>
      <c r="AC34" s="40">
        <v>1.1300046851074239</v>
      </c>
      <c r="AD34" s="40">
        <v>3.3081863852380189</v>
      </c>
      <c r="AE34" s="40">
        <v>4.6036817349469743</v>
      </c>
      <c r="AF34" s="40">
        <v>4.7517064957478068</v>
      </c>
      <c r="AG34" s="40">
        <v>14.29998104890096</v>
      </c>
      <c r="AH34" s="40">
        <v>11.842107703499286</v>
      </c>
      <c r="AI34" s="40">
        <v>14.423202038322991</v>
      </c>
      <c r="AJ34" s="40">
        <v>8.5383465094415687</v>
      </c>
      <c r="AK34" s="40">
        <v>8.3291054553013666</v>
      </c>
      <c r="AL34" s="40">
        <v>4.7555742866637827</v>
      </c>
      <c r="AM34" s="40">
        <v>2.1836879876293622</v>
      </c>
      <c r="AN34" s="40">
        <v>3.8819047774684372</v>
      </c>
      <c r="AO34" s="40">
        <v>5.347268999903239</v>
      </c>
      <c r="AP34" s="40">
        <v>5.4979087241241578</v>
      </c>
      <c r="AQ34" s="40">
        <v>4.4138754076505485E-2</v>
      </c>
    </row>
    <row r="35" spans="1:43">
      <c r="A35" s="4">
        <v>121</v>
      </c>
      <c r="B35" s="5" t="s">
        <v>109</v>
      </c>
      <c r="C35" s="13" t="s">
        <v>110</v>
      </c>
      <c r="D35" s="22" t="s">
        <v>110</v>
      </c>
      <c r="E35" s="5" t="s">
        <v>44</v>
      </c>
      <c r="F35" s="23">
        <v>1991</v>
      </c>
      <c r="G35" s="24">
        <v>42.327500000000001</v>
      </c>
      <c r="H35" s="24">
        <v>-82.998055555555595</v>
      </c>
      <c r="I35" s="25"/>
      <c r="J35" s="25"/>
      <c r="L35" s="37">
        <v>6.833333333333333</v>
      </c>
    </row>
    <row r="36" spans="1:43">
      <c r="A36" s="21">
        <v>122</v>
      </c>
      <c r="B36" s="5" t="s">
        <v>111</v>
      </c>
      <c r="C36" s="13" t="s">
        <v>112</v>
      </c>
      <c r="D36" s="22" t="s">
        <v>112</v>
      </c>
      <c r="E36" s="5" t="s">
        <v>44</v>
      </c>
      <c r="F36" s="23">
        <v>1991</v>
      </c>
      <c r="G36" s="24">
        <v>42.343611109999998</v>
      </c>
      <c r="H36" s="24">
        <v>-83.001944444444405</v>
      </c>
      <c r="I36" s="25"/>
      <c r="J36" s="25"/>
      <c r="L36" s="37">
        <v>2.5</v>
      </c>
    </row>
    <row r="37" spans="1:43">
      <c r="A37" s="4">
        <v>123</v>
      </c>
      <c r="B37" s="5" t="s">
        <v>113</v>
      </c>
      <c r="C37" s="13" t="s">
        <v>114</v>
      </c>
      <c r="D37" s="22" t="s">
        <v>114</v>
      </c>
      <c r="E37" s="5" t="s">
        <v>44</v>
      </c>
      <c r="F37" s="23">
        <v>1991</v>
      </c>
      <c r="G37" s="24">
        <v>42.343888890000002</v>
      </c>
      <c r="H37" s="24">
        <v>-82.914444444444399</v>
      </c>
      <c r="I37" s="25"/>
      <c r="J37" s="25"/>
      <c r="L37" s="37">
        <v>1.5</v>
      </c>
    </row>
    <row r="38" spans="1:43">
      <c r="A38" s="21">
        <v>124</v>
      </c>
      <c r="B38" s="5" t="s">
        <v>115</v>
      </c>
      <c r="C38" s="13" t="s">
        <v>116</v>
      </c>
      <c r="D38" s="22" t="s">
        <v>116</v>
      </c>
      <c r="E38" s="5" t="s">
        <v>44</v>
      </c>
      <c r="F38" s="23">
        <v>1991</v>
      </c>
      <c r="G38" s="24">
        <v>42.339722219999999</v>
      </c>
      <c r="H38" s="24">
        <v>-82.923055555555493</v>
      </c>
      <c r="I38" s="25"/>
      <c r="J38" s="25"/>
      <c r="L38" s="37">
        <v>5.2</v>
      </c>
    </row>
    <row r="39" spans="1:43">
      <c r="A39" s="4">
        <v>125</v>
      </c>
      <c r="B39" s="5" t="s">
        <v>117</v>
      </c>
      <c r="C39" s="13" t="s">
        <v>118</v>
      </c>
      <c r="D39" s="22" t="s">
        <v>118</v>
      </c>
      <c r="E39" s="5" t="s">
        <v>44</v>
      </c>
      <c r="F39" s="23">
        <v>1991</v>
      </c>
      <c r="G39" s="24">
        <v>42.34111111</v>
      </c>
      <c r="H39" s="24">
        <v>-82.931944444444397</v>
      </c>
      <c r="I39" s="25"/>
      <c r="J39" s="25"/>
      <c r="L39" s="37">
        <v>1.3</v>
      </c>
    </row>
    <row r="40" spans="1:43">
      <c r="A40" s="21">
        <v>126</v>
      </c>
      <c r="B40" s="5" t="s">
        <v>119</v>
      </c>
      <c r="C40" s="13" t="s">
        <v>120</v>
      </c>
      <c r="D40" s="22" t="s">
        <v>120</v>
      </c>
      <c r="E40" s="5" t="s">
        <v>44</v>
      </c>
      <c r="F40" s="23">
        <v>1991</v>
      </c>
      <c r="G40" s="24">
        <v>42.345833329999998</v>
      </c>
      <c r="H40" s="24">
        <v>-82.946388888888904</v>
      </c>
      <c r="I40" s="25"/>
      <c r="J40" s="25"/>
      <c r="L40" s="37">
        <v>2.9</v>
      </c>
    </row>
    <row r="41" spans="1:43">
      <c r="A41" s="4">
        <v>127</v>
      </c>
      <c r="B41" s="5" t="s">
        <v>121</v>
      </c>
      <c r="C41" s="13" t="s">
        <v>122</v>
      </c>
      <c r="D41" s="22" t="s">
        <v>122</v>
      </c>
      <c r="E41" s="5" t="s">
        <v>44</v>
      </c>
      <c r="F41" s="23">
        <v>1991</v>
      </c>
      <c r="G41" s="24">
        <v>42.333055559999998</v>
      </c>
      <c r="H41" s="24">
        <v>-83.009166666666701</v>
      </c>
      <c r="I41" s="25"/>
      <c r="J41" s="25"/>
      <c r="L41" s="37">
        <v>1.2</v>
      </c>
    </row>
    <row r="42" spans="1:43">
      <c r="A42" s="21">
        <v>128</v>
      </c>
      <c r="B42" s="5" t="s">
        <v>123</v>
      </c>
      <c r="C42" s="13" t="s">
        <v>124</v>
      </c>
      <c r="D42" s="22" t="s">
        <v>124</v>
      </c>
      <c r="E42" s="5" t="s">
        <v>44</v>
      </c>
      <c r="F42" s="23">
        <v>1991</v>
      </c>
      <c r="G42" s="24">
        <v>42.325000000000003</v>
      </c>
      <c r="H42" s="24">
        <v>-83.048055555555493</v>
      </c>
      <c r="I42" s="25"/>
      <c r="J42" s="25"/>
      <c r="L42" s="37">
        <v>2</v>
      </c>
    </row>
    <row r="43" spans="1:43">
      <c r="A43" s="4">
        <v>129</v>
      </c>
      <c r="B43" s="5" t="s">
        <v>125</v>
      </c>
      <c r="C43" s="13" t="s">
        <v>126</v>
      </c>
      <c r="D43" s="22" t="s">
        <v>126</v>
      </c>
      <c r="E43" s="5" t="s">
        <v>44</v>
      </c>
      <c r="F43" s="23">
        <v>1991</v>
      </c>
      <c r="G43" s="24">
        <v>42.248055559999997</v>
      </c>
      <c r="H43" s="24">
        <v>-83.112777777777794</v>
      </c>
      <c r="I43" s="25"/>
      <c r="J43" s="25"/>
      <c r="L43" s="37">
        <v>1.4</v>
      </c>
    </row>
    <row r="44" spans="1:43">
      <c r="A44" s="4">
        <v>13</v>
      </c>
      <c r="B44" s="5" t="s">
        <v>127</v>
      </c>
      <c r="C44" s="13" t="s">
        <v>128</v>
      </c>
      <c r="D44" s="22" t="s">
        <v>128</v>
      </c>
      <c r="E44" s="5" t="s">
        <v>44</v>
      </c>
      <c r="F44" s="23">
        <v>1991</v>
      </c>
      <c r="G44" s="24">
        <v>42.335555560000003</v>
      </c>
      <c r="H44" s="24">
        <v>-83.015555555555594</v>
      </c>
      <c r="I44" s="25"/>
      <c r="J44" s="25"/>
      <c r="L44" s="37">
        <v>2.1</v>
      </c>
    </row>
    <row r="45" spans="1:43">
      <c r="A45" s="21">
        <v>130</v>
      </c>
      <c r="B45" s="5" t="s">
        <v>129</v>
      </c>
      <c r="C45" s="13" t="s">
        <v>130</v>
      </c>
      <c r="D45" s="22" t="s">
        <v>130</v>
      </c>
      <c r="E45" s="5" t="s">
        <v>44</v>
      </c>
      <c r="F45" s="23">
        <v>1991</v>
      </c>
      <c r="G45" s="24">
        <v>42.206111110000002</v>
      </c>
      <c r="H45" s="24">
        <v>-83.1308333333333</v>
      </c>
      <c r="I45" s="25"/>
      <c r="J45" s="25"/>
      <c r="L45" s="37">
        <v>4.4000000000000004</v>
      </c>
    </row>
    <row r="46" spans="1:43">
      <c r="A46" s="4">
        <v>131</v>
      </c>
      <c r="B46" s="5" t="s">
        <v>131</v>
      </c>
      <c r="C46" s="13" t="s">
        <v>132</v>
      </c>
      <c r="D46" s="22" t="s">
        <v>132</v>
      </c>
      <c r="E46" s="5" t="s">
        <v>44</v>
      </c>
      <c r="F46" s="23">
        <v>1999</v>
      </c>
      <c r="G46" s="24">
        <v>42.335967510000003</v>
      </c>
      <c r="H46" s="24">
        <v>-82.953532280000005</v>
      </c>
      <c r="I46" s="25"/>
      <c r="J46" s="25"/>
      <c r="L46" s="26">
        <v>0.97</v>
      </c>
      <c r="M46" s="17">
        <f>(L46=Q46)*1</f>
        <v>1</v>
      </c>
      <c r="N46" s="1">
        <v>24</v>
      </c>
      <c r="O46" s="18">
        <v>23</v>
      </c>
      <c r="P46" s="19">
        <v>0.97819562968165152</v>
      </c>
      <c r="Q46" s="20">
        <v>0.97</v>
      </c>
      <c r="R46" s="19">
        <v>0.35442275365549408</v>
      </c>
      <c r="S46" s="19">
        <v>1.2926174444270048E-2</v>
      </c>
      <c r="T46" s="19">
        <v>0.40384803358922777</v>
      </c>
      <c r="U46" s="19">
        <v>0.90296591558741013</v>
      </c>
      <c r="V46" s="19">
        <v>0.29567835641872586</v>
      </c>
      <c r="W46" s="19">
        <v>0.50490038850485641</v>
      </c>
      <c r="X46" s="19">
        <v>1.8107844398061548</v>
      </c>
      <c r="Y46" s="19">
        <v>11.650728181365153</v>
      </c>
      <c r="Z46" s="19">
        <v>3.953850803148633</v>
      </c>
      <c r="AA46" s="19">
        <v>4.9370590146235056</v>
      </c>
      <c r="AB46" s="19">
        <v>14.604834134725179</v>
      </c>
      <c r="AC46" s="19">
        <v>0.79789864427422197</v>
      </c>
      <c r="AD46" s="19">
        <v>1.9270733814172911</v>
      </c>
      <c r="AE46" s="19">
        <v>3.0870838137724887</v>
      </c>
      <c r="AF46" s="19">
        <v>3.0981194662455649</v>
      </c>
      <c r="AG46" s="19">
        <v>12.574281412057262</v>
      </c>
      <c r="AH46" s="19">
        <v>9.2471148574137629</v>
      </c>
      <c r="AI46" s="19">
        <v>13.433152160131748</v>
      </c>
      <c r="AJ46" s="19">
        <v>6.8488742317097788</v>
      </c>
      <c r="AK46" s="19">
        <v>5.9271068320565892</v>
      </c>
      <c r="AL46" s="19">
        <v>3.0585521201806811</v>
      </c>
      <c r="AM46" s="19">
        <v>1.6903493582808238</v>
      </c>
      <c r="AN46" s="19">
        <v>3.8505060432548519</v>
      </c>
      <c r="AO46" s="19">
        <v>3.9872601382808166</v>
      </c>
      <c r="AP46" s="19">
        <v>4.0281539864876548</v>
      </c>
      <c r="AQ46" s="19">
        <v>8.2112076541927023E-2</v>
      </c>
    </row>
    <row r="47" spans="1:43" s="1" customFormat="1">
      <c r="A47" s="28">
        <v>132</v>
      </c>
      <c r="B47" s="29" t="s">
        <v>133</v>
      </c>
      <c r="C47" s="30" t="s">
        <v>134</v>
      </c>
      <c r="D47" s="22" t="s">
        <v>134</v>
      </c>
      <c r="E47" s="29" t="s">
        <v>44</v>
      </c>
      <c r="F47" s="31">
        <v>1991</v>
      </c>
      <c r="G47" s="32">
        <v>42.20333333</v>
      </c>
      <c r="H47" s="32">
        <v>-83.141666666666694</v>
      </c>
      <c r="I47" s="33"/>
      <c r="J47" s="33"/>
      <c r="L47" s="34">
        <v>1</v>
      </c>
      <c r="O47" s="35"/>
    </row>
    <row r="48" spans="1:43" s="1" customFormat="1">
      <c r="A48" s="36">
        <v>133</v>
      </c>
      <c r="B48" s="29" t="s">
        <v>135</v>
      </c>
      <c r="C48" s="30" t="s">
        <v>136</v>
      </c>
      <c r="D48" s="22" t="s">
        <v>136</v>
      </c>
      <c r="E48" s="29" t="s">
        <v>44</v>
      </c>
      <c r="F48" s="31">
        <v>1991</v>
      </c>
      <c r="G48" s="32">
        <v>42.237499999999997</v>
      </c>
      <c r="H48" s="32">
        <v>-83.110277777777796</v>
      </c>
      <c r="I48" s="33"/>
      <c r="J48" s="33"/>
      <c r="L48" s="34">
        <v>2.2000000000000002</v>
      </c>
      <c r="O48" s="35"/>
    </row>
    <row r="49" spans="1:43" s="1" customFormat="1">
      <c r="A49" s="28">
        <v>134</v>
      </c>
      <c r="B49" s="29" t="s">
        <v>137</v>
      </c>
      <c r="C49" s="30" t="s">
        <v>138</v>
      </c>
      <c r="D49" s="22" t="s">
        <v>138</v>
      </c>
      <c r="E49" s="29" t="s">
        <v>44</v>
      </c>
      <c r="F49" s="31">
        <v>1991</v>
      </c>
      <c r="G49" s="32">
        <v>42.229722219999999</v>
      </c>
      <c r="H49" s="32">
        <v>-83.1330555555556</v>
      </c>
      <c r="I49" s="33"/>
      <c r="J49" s="33"/>
      <c r="L49" s="34">
        <v>2</v>
      </c>
      <c r="O49" s="35"/>
    </row>
    <row r="50" spans="1:43" s="1" customFormat="1">
      <c r="A50" s="36">
        <v>135</v>
      </c>
      <c r="B50" s="29" t="s">
        <v>139</v>
      </c>
      <c r="C50" s="30" t="s">
        <v>140</v>
      </c>
      <c r="D50" s="22" t="s">
        <v>140</v>
      </c>
      <c r="E50" s="29" t="s">
        <v>44</v>
      </c>
      <c r="F50" s="31">
        <v>1991</v>
      </c>
      <c r="G50" s="32">
        <v>42.194444439999998</v>
      </c>
      <c r="H50" s="32">
        <v>-83.108333333333306</v>
      </c>
      <c r="I50" s="33"/>
      <c r="J50" s="33"/>
      <c r="L50" s="34">
        <v>4.5999999999999996</v>
      </c>
      <c r="O50" s="35"/>
    </row>
    <row r="51" spans="1:43" s="1" customFormat="1">
      <c r="A51" s="28">
        <v>136</v>
      </c>
      <c r="B51" s="29" t="s">
        <v>141</v>
      </c>
      <c r="C51" s="30" t="s">
        <v>142</v>
      </c>
      <c r="D51" s="22" t="s">
        <v>142</v>
      </c>
      <c r="E51" s="29" t="s">
        <v>44</v>
      </c>
      <c r="F51" s="31">
        <v>1991</v>
      </c>
      <c r="G51" s="32">
        <v>42.168055559999999</v>
      </c>
      <c r="H51" s="32">
        <v>-83.1319444444444</v>
      </c>
      <c r="I51" s="33"/>
      <c r="J51" s="33"/>
      <c r="L51" s="34">
        <v>2.2000000000000002</v>
      </c>
      <c r="O51" s="35"/>
    </row>
    <row r="52" spans="1:43" s="1" customFormat="1">
      <c r="A52" s="36">
        <v>137</v>
      </c>
      <c r="B52" s="29" t="s">
        <v>143</v>
      </c>
      <c r="C52" s="30" t="s">
        <v>144</v>
      </c>
      <c r="D52" s="22" t="s">
        <v>144</v>
      </c>
      <c r="E52" s="29" t="s">
        <v>44</v>
      </c>
      <c r="F52" s="31">
        <v>1991</v>
      </c>
      <c r="G52" s="32">
        <v>42.158611110000002</v>
      </c>
      <c r="H52" s="32">
        <v>-83.125277777777796</v>
      </c>
      <c r="I52" s="33"/>
      <c r="J52" s="33"/>
      <c r="L52" s="34">
        <v>3.7</v>
      </c>
      <c r="O52" s="35"/>
    </row>
    <row r="53" spans="1:43" s="1" customFormat="1">
      <c r="A53" s="28">
        <v>138</v>
      </c>
      <c r="B53" s="29" t="s">
        <v>145</v>
      </c>
      <c r="C53" s="30" t="s">
        <v>146</v>
      </c>
      <c r="D53" s="22" t="s">
        <v>146</v>
      </c>
      <c r="E53" s="29" t="s">
        <v>44</v>
      </c>
      <c r="F53" s="31">
        <v>1991</v>
      </c>
      <c r="G53" s="32">
        <v>42.15</v>
      </c>
      <c r="H53" s="32">
        <v>-83.172499999999999</v>
      </c>
      <c r="I53" s="33"/>
      <c r="J53" s="33"/>
      <c r="L53" s="34">
        <v>6.833333333333333</v>
      </c>
      <c r="O53" s="35"/>
    </row>
    <row r="54" spans="1:43" s="1" customFormat="1">
      <c r="A54" s="36">
        <v>139</v>
      </c>
      <c r="B54" s="29" t="s">
        <v>147</v>
      </c>
      <c r="C54" s="30" t="s">
        <v>148</v>
      </c>
      <c r="D54" s="22" t="s">
        <v>148</v>
      </c>
      <c r="E54" s="29" t="s">
        <v>44</v>
      </c>
      <c r="F54" s="31">
        <v>1991</v>
      </c>
      <c r="G54" s="32">
        <v>42.148055560000003</v>
      </c>
      <c r="H54" s="32">
        <v>-83.1677777777778</v>
      </c>
      <c r="I54" s="33"/>
      <c r="J54" s="33"/>
      <c r="L54" s="34">
        <v>2.2000000000000002</v>
      </c>
      <c r="O54" s="35"/>
    </row>
    <row r="55" spans="1:43">
      <c r="A55" s="21">
        <v>14</v>
      </c>
      <c r="B55" s="5" t="s">
        <v>149</v>
      </c>
      <c r="C55" s="13" t="s">
        <v>150</v>
      </c>
      <c r="D55" s="22"/>
      <c r="E55" s="5" t="s">
        <v>44</v>
      </c>
      <c r="F55" s="23"/>
      <c r="G55" s="24"/>
      <c r="H55" s="24"/>
      <c r="I55" s="25"/>
      <c r="J55" s="25"/>
      <c r="L55" s="37"/>
      <c r="M55" s="17"/>
      <c r="N55" s="1">
        <v>186</v>
      </c>
      <c r="O55" s="18">
        <v>110</v>
      </c>
      <c r="P55" s="19">
        <v>3.2794712956444676</v>
      </c>
      <c r="Q55" s="20">
        <v>8.7099999999999991</v>
      </c>
      <c r="R55" s="19">
        <v>0.98343345435759022</v>
      </c>
      <c r="S55" s="19">
        <v>0.33852660745182095</v>
      </c>
      <c r="T55" s="19">
        <v>0.98306126889489609</v>
      </c>
      <c r="U55" s="19">
        <v>1.7182896196888533</v>
      </c>
      <c r="V55" s="19">
        <v>0.96261243017723963</v>
      </c>
      <c r="W55" s="19">
        <v>2.0113005314467935</v>
      </c>
      <c r="X55" s="19">
        <v>5.2615608000035703</v>
      </c>
      <c r="Y55" s="19">
        <v>13.929486773237697</v>
      </c>
      <c r="Z55" s="19">
        <v>5.8699887125910708</v>
      </c>
      <c r="AA55" s="19">
        <v>6.9120273443516682</v>
      </c>
      <c r="AB55" s="19">
        <v>15.426687710621538</v>
      </c>
      <c r="AC55" s="19">
        <v>2.1905015582513254</v>
      </c>
      <c r="AD55" s="19">
        <v>3.3997461882960294</v>
      </c>
      <c r="AE55" s="19">
        <v>5.2925882082505007</v>
      </c>
      <c r="AF55" s="19">
        <v>5.6876526326943537</v>
      </c>
      <c r="AG55" s="19">
        <v>14.485907147838972</v>
      </c>
      <c r="AH55" s="19">
        <v>12.272508276689447</v>
      </c>
      <c r="AI55" s="19">
        <v>14.553109537103468</v>
      </c>
      <c r="AJ55" s="19">
        <v>8.6882628810016911</v>
      </c>
      <c r="AK55" s="19">
        <v>8.8550146919012764</v>
      </c>
      <c r="AL55" s="19">
        <v>5.024544255392339</v>
      </c>
      <c r="AM55" s="19">
        <v>4.3105627285822159</v>
      </c>
      <c r="AN55" s="19">
        <v>5.6934524411292244</v>
      </c>
      <c r="AO55" s="19">
        <v>5.5503830431721299</v>
      </c>
      <c r="AP55" s="19">
        <v>6.8360419232393044</v>
      </c>
      <c r="AQ55" s="19">
        <v>0.3358266914646037</v>
      </c>
    </row>
    <row r="56" spans="1:43">
      <c r="A56" s="21">
        <v>140</v>
      </c>
      <c r="B56" s="5" t="s">
        <v>151</v>
      </c>
      <c r="C56" s="13" t="s">
        <v>152</v>
      </c>
      <c r="D56" s="42" t="s">
        <v>152</v>
      </c>
      <c r="E56" s="5" t="s">
        <v>44</v>
      </c>
      <c r="F56" s="23">
        <v>2004</v>
      </c>
      <c r="G56" s="24">
        <v>42.073079999999997</v>
      </c>
      <c r="H56" s="24">
        <v>-83.175470000000004</v>
      </c>
      <c r="I56" s="25"/>
      <c r="J56" s="25"/>
      <c r="L56" s="26">
        <v>2.0920085274252198</v>
      </c>
      <c r="M56" s="17">
        <f t="shared" ref="M56:M79" si="0">(L56=Q56)*1</f>
        <v>1</v>
      </c>
      <c r="N56" s="1">
        <v>225</v>
      </c>
      <c r="O56" s="18" t="s">
        <v>152</v>
      </c>
      <c r="P56" s="19">
        <v>1.6285442980651899</v>
      </c>
      <c r="Q56" s="20">
        <v>2.0920085274252198</v>
      </c>
      <c r="R56" s="19">
        <v>0.50263186077231636</v>
      </c>
      <c r="S56" s="19">
        <v>0.21361146830610833</v>
      </c>
      <c r="T56" s="19">
        <v>0.6464250191924209</v>
      </c>
      <c r="U56" s="19">
        <v>3.3885742839511628</v>
      </c>
      <c r="V56" s="19">
        <v>0.5259439262307315</v>
      </c>
      <c r="W56" s="19">
        <v>1.1924039066343686</v>
      </c>
      <c r="X56" s="19">
        <v>5.3085420841532143</v>
      </c>
      <c r="Y56" s="19">
        <v>11.418379719364957</v>
      </c>
      <c r="Z56" s="19">
        <v>1.1622100363143069</v>
      </c>
      <c r="AA56" s="19">
        <v>6.4965604185140233E-2</v>
      </c>
      <c r="AB56" s="19">
        <v>13.568787428826925</v>
      </c>
      <c r="AC56" s="19">
        <v>0.40272217684560468</v>
      </c>
      <c r="AD56" s="19">
        <v>2.6033592918829727</v>
      </c>
      <c r="AE56" s="19">
        <v>4.3219280948873626</v>
      </c>
      <c r="AF56" s="19">
        <v>4.3497898702418718</v>
      </c>
      <c r="AG56" s="19">
        <v>13.760823884286452</v>
      </c>
      <c r="AH56" s="19">
        <v>0.23204671335010993</v>
      </c>
      <c r="AI56" s="19">
        <v>8.542258049766918</v>
      </c>
      <c r="AJ56" s="19">
        <v>12.782793498733353</v>
      </c>
      <c r="AK56" s="19">
        <v>7.1548181090521039</v>
      </c>
      <c r="AL56" s="19">
        <v>6.5421032458565929</v>
      </c>
      <c r="AM56" s="19">
        <v>4.0036022366801953</v>
      </c>
      <c r="AN56" s="19">
        <v>3.6746866199279991</v>
      </c>
      <c r="AO56" s="19">
        <v>6.9935838183574073E-2</v>
      </c>
      <c r="AP56" s="19">
        <v>3.5160151470036647</v>
      </c>
      <c r="AQ56" s="81">
        <v>6.398487190018967</v>
      </c>
    </row>
    <row r="57" spans="1:43">
      <c r="A57" s="4">
        <v>141</v>
      </c>
      <c r="B57" s="5" t="s">
        <v>153</v>
      </c>
      <c r="C57" s="13" t="s">
        <v>154</v>
      </c>
      <c r="D57" s="42" t="s">
        <v>154</v>
      </c>
      <c r="E57" s="5" t="s">
        <v>44</v>
      </c>
      <c r="F57" s="23">
        <v>2004</v>
      </c>
      <c r="G57" s="24">
        <v>42.354280000000003</v>
      </c>
      <c r="H57" s="24">
        <v>-82.948080000000004</v>
      </c>
      <c r="I57" s="25"/>
      <c r="J57" s="25"/>
      <c r="L57" s="26">
        <v>1.7842323651452301</v>
      </c>
      <c r="M57" s="17">
        <f t="shared" si="0"/>
        <v>1</v>
      </c>
      <c r="N57" s="1">
        <v>145</v>
      </c>
      <c r="O57" s="18" t="s">
        <v>154</v>
      </c>
      <c r="P57" s="19">
        <v>1.4772796199702227</v>
      </c>
      <c r="Q57" s="20">
        <v>1.7842323651452294</v>
      </c>
      <c r="R57" s="19">
        <v>0.56904854464695898</v>
      </c>
      <c r="S57" s="19">
        <v>0.19616821018891314</v>
      </c>
      <c r="T57" s="19">
        <v>0.1630886078383452</v>
      </c>
      <c r="U57" s="19">
        <v>0.37574926699813693</v>
      </c>
      <c r="V57" s="19">
        <v>0.61608735875271448</v>
      </c>
      <c r="W57" s="19">
        <v>1.1035593767968315</v>
      </c>
      <c r="X57" s="19">
        <v>2.2571042786171449</v>
      </c>
      <c r="Y57" s="19">
        <v>11.758639637024576</v>
      </c>
      <c r="Z57" s="19">
        <v>1.5400272692575072</v>
      </c>
      <c r="AA57" s="19">
        <v>3.995484518877507</v>
      </c>
      <c r="AB57" s="19">
        <v>14.245329867530941</v>
      </c>
      <c r="AC57" s="19">
        <v>0.22305178836844153</v>
      </c>
      <c r="AD57" s="19">
        <v>2.0541538717627081</v>
      </c>
      <c r="AE57" s="19">
        <v>3.3825289244414796</v>
      </c>
      <c r="AF57" s="19">
        <v>3.5447326559326235</v>
      </c>
      <c r="AG57" s="19">
        <v>12.951648985904619</v>
      </c>
      <c r="AH57" s="19">
        <v>5.4709582700635487E-2</v>
      </c>
      <c r="AI57" s="19">
        <v>9.2651461823136465</v>
      </c>
      <c r="AJ57" s="19">
        <v>13.004571615167656</v>
      </c>
      <c r="AK57" s="19">
        <v>7.0874628412503391</v>
      </c>
      <c r="AL57" s="19">
        <v>6.8201789624151878</v>
      </c>
      <c r="AM57" s="19">
        <v>3.0511980628715607</v>
      </c>
      <c r="AN57" s="19">
        <v>2.8661167015343332</v>
      </c>
      <c r="AO57" s="19">
        <v>3.1555873412968749</v>
      </c>
      <c r="AP57" s="19">
        <v>4.0303360783709588</v>
      </c>
      <c r="AQ57" s="81">
        <v>4.7436226760676545</v>
      </c>
    </row>
    <row r="58" spans="1:43">
      <c r="A58" s="21">
        <v>142</v>
      </c>
      <c r="B58" s="5" t="s">
        <v>155</v>
      </c>
      <c r="C58" s="13" t="s">
        <v>156</v>
      </c>
      <c r="D58" s="22" t="s">
        <v>156</v>
      </c>
      <c r="E58" s="5" t="s">
        <v>44</v>
      </c>
      <c r="F58" s="23">
        <v>1999</v>
      </c>
      <c r="G58" s="24">
        <v>42.353578380000002</v>
      </c>
      <c r="H58" s="24">
        <v>-82.969011850000001</v>
      </c>
      <c r="I58" s="25"/>
      <c r="J58" s="25"/>
      <c r="L58" s="26">
        <v>4.8899999999999997</v>
      </c>
      <c r="M58" s="17">
        <f t="shared" si="0"/>
        <v>1</v>
      </c>
      <c r="N58" s="1">
        <v>111</v>
      </c>
      <c r="O58" s="18">
        <v>24</v>
      </c>
      <c r="P58" s="19">
        <v>2.5582676340557358</v>
      </c>
      <c r="Q58" s="20">
        <v>4.8899999999999988</v>
      </c>
      <c r="R58" s="19">
        <v>0.38038052920412629</v>
      </c>
      <c r="S58" s="19">
        <v>1.7209290032223101E-2</v>
      </c>
      <c r="T58" s="19">
        <v>0.43349043452161162</v>
      </c>
      <c r="U58" s="19">
        <v>0.92858494683611281</v>
      </c>
      <c r="V58" s="19">
        <v>0.76202692935060512</v>
      </c>
      <c r="W58" s="19">
        <v>1.1263784929291669</v>
      </c>
      <c r="X58" s="19">
        <v>2.9667597289424781</v>
      </c>
      <c r="Y58" s="19">
        <v>13.382655754392886</v>
      </c>
      <c r="Z58" s="19">
        <v>2.3912557529550735</v>
      </c>
      <c r="AA58" s="19">
        <v>6.779073734612199E-4</v>
      </c>
      <c r="AB58" s="19">
        <v>15.249229609272975</v>
      </c>
      <c r="AC58" s="19">
        <v>0.80472556440573972</v>
      </c>
      <c r="AD58" s="19">
        <v>3.1453784539999874</v>
      </c>
      <c r="AE58" s="19">
        <v>4.6932531834756617</v>
      </c>
      <c r="AF58" s="19">
        <v>4.8108542312584746</v>
      </c>
      <c r="AG58" s="19">
        <v>14.183389218837334</v>
      </c>
      <c r="AH58" s="19">
        <v>11.170188157783183</v>
      </c>
      <c r="AI58" s="19">
        <v>13.786885442628353</v>
      </c>
      <c r="AJ58" s="19">
        <v>8.4971695719339575</v>
      </c>
      <c r="AK58" s="19">
        <v>8.2341360751475356</v>
      </c>
      <c r="AL58" s="19">
        <v>4.556988187446791</v>
      </c>
      <c r="AM58" s="19">
        <v>4.024604826336823</v>
      </c>
      <c r="AN58" s="19">
        <v>7.3558691213057505E-4</v>
      </c>
      <c r="AO58" s="19">
        <v>5.3513183128491004</v>
      </c>
      <c r="AP58" s="19">
        <v>6.029082696757107</v>
      </c>
      <c r="AQ58" s="19">
        <v>0.1810401028166575</v>
      </c>
    </row>
    <row r="59" spans="1:43">
      <c r="A59" s="4">
        <v>143</v>
      </c>
      <c r="B59" s="5" t="s">
        <v>157</v>
      </c>
      <c r="C59" s="13" t="s">
        <v>158</v>
      </c>
      <c r="D59" s="42" t="s">
        <v>158</v>
      </c>
      <c r="E59" s="5" t="s">
        <v>44</v>
      </c>
      <c r="F59" s="23">
        <v>2004</v>
      </c>
      <c r="G59" s="24">
        <v>42.346469999999997</v>
      </c>
      <c r="H59" s="24">
        <v>-82.91807</v>
      </c>
      <c r="I59" s="25"/>
      <c r="J59" s="25"/>
      <c r="L59" s="26">
        <v>1.2991833704528499</v>
      </c>
      <c r="M59" s="17">
        <f t="shared" si="0"/>
        <v>1</v>
      </c>
      <c r="N59" s="1">
        <v>80</v>
      </c>
      <c r="O59" s="18" t="s">
        <v>158</v>
      </c>
      <c r="P59" s="19">
        <v>1.2011215322123547</v>
      </c>
      <c r="Q59" s="20">
        <v>1.2991833704528499</v>
      </c>
      <c r="R59" s="19">
        <v>0.63163457434214143</v>
      </c>
      <c r="S59" s="19">
        <v>0.19600876702089834</v>
      </c>
      <c r="T59" s="19">
        <v>0.16279179616421238</v>
      </c>
      <c r="U59" s="19">
        <v>0.45939766143054672</v>
      </c>
      <c r="V59" s="19">
        <v>0.2155863232057427</v>
      </c>
      <c r="W59" s="19">
        <v>0.17169518984534043</v>
      </c>
      <c r="X59" s="19">
        <v>0.6897162755923667</v>
      </c>
      <c r="Y59" s="19">
        <v>11.597587039586216</v>
      </c>
      <c r="Z59" s="19">
        <v>1.6955484681330995</v>
      </c>
      <c r="AA59" s="19">
        <v>4.2234225499349369</v>
      </c>
      <c r="AB59" s="19">
        <v>15.222077904494009</v>
      </c>
      <c r="AC59" s="19">
        <v>0.25362627842137686</v>
      </c>
      <c r="AD59" s="19">
        <v>2.0738202332916713</v>
      </c>
      <c r="AE59" s="19">
        <v>3.3339961181964526</v>
      </c>
      <c r="AF59" s="19">
        <v>3.6357543912777603</v>
      </c>
      <c r="AG59" s="19">
        <v>13.100826570895739</v>
      </c>
      <c r="AH59" s="19">
        <v>5.6181182304109144E-2</v>
      </c>
      <c r="AI59" s="19">
        <v>8.6784240825929384</v>
      </c>
      <c r="AJ59" s="19">
        <v>14.142186850175603</v>
      </c>
      <c r="AK59" s="19">
        <v>7.4076926486656767</v>
      </c>
      <c r="AL59" s="19">
        <v>7.1858665453113337</v>
      </c>
      <c r="AM59" s="19">
        <v>3.0641930619274924</v>
      </c>
      <c r="AN59" s="19">
        <v>1.5558161550616396</v>
      </c>
      <c r="AO59" s="19">
        <v>3.2914562164544892</v>
      </c>
      <c r="AP59" s="19">
        <v>4.36667191611176</v>
      </c>
      <c r="AQ59" s="81">
        <v>4.5235619560570131</v>
      </c>
    </row>
    <row r="60" spans="1:43">
      <c r="A60" s="21">
        <v>144</v>
      </c>
      <c r="B60" s="5" t="s">
        <v>159</v>
      </c>
      <c r="C60" s="13" t="s">
        <v>160</v>
      </c>
      <c r="D60" s="42" t="s">
        <v>160</v>
      </c>
      <c r="E60" s="5" t="s">
        <v>44</v>
      </c>
      <c r="F60" s="23">
        <v>2004</v>
      </c>
      <c r="G60" s="24">
        <v>42.342379999999999</v>
      </c>
      <c r="H60" s="24">
        <v>-82.945279999999997</v>
      </c>
      <c r="I60" s="25"/>
      <c r="J60" s="25"/>
      <c r="L60" s="26">
        <v>0.94217734401398401</v>
      </c>
      <c r="M60" s="17">
        <f t="shared" si="0"/>
        <v>1</v>
      </c>
      <c r="N60" s="1">
        <v>133</v>
      </c>
      <c r="O60" s="18" t="s">
        <v>160</v>
      </c>
      <c r="P60" s="19">
        <v>0.95767494207941029</v>
      </c>
      <c r="Q60" s="20">
        <v>0.94217734401398401</v>
      </c>
      <c r="R60" s="19">
        <v>0.15724984605904674</v>
      </c>
      <c r="S60" s="19">
        <v>0.79860561106576267</v>
      </c>
      <c r="T60" s="19">
        <v>0.25232234919661251</v>
      </c>
      <c r="U60" s="19">
        <v>0.16772007576286041</v>
      </c>
      <c r="V60" s="19">
        <v>0.31822447978586543</v>
      </c>
      <c r="W60" s="19">
        <v>0.1691869715537351</v>
      </c>
      <c r="X60" s="19">
        <v>0.45008776572670178</v>
      </c>
      <c r="Y60" s="19">
        <v>11.677719641641009</v>
      </c>
      <c r="Z60" s="19">
        <v>1.1116990721974203</v>
      </c>
      <c r="AA60" s="19">
        <v>3.5570424152637194</v>
      </c>
      <c r="AB60" s="19">
        <v>13.561645948816334</v>
      </c>
      <c r="AC60" s="19">
        <v>3.3178170597064258E-4</v>
      </c>
      <c r="AD60" s="19">
        <v>2.0289227105960133</v>
      </c>
      <c r="AE60" s="19">
        <v>3.307137042204916</v>
      </c>
      <c r="AF60" s="19">
        <v>2.8753869045864557</v>
      </c>
      <c r="AG60" s="19">
        <v>12.475986690870654</v>
      </c>
      <c r="AH60" s="19">
        <v>2.9106526726884237E-2</v>
      </c>
      <c r="AI60" s="19">
        <v>8.1369911120802296</v>
      </c>
      <c r="AJ60" s="19">
        <v>13.11715606091604</v>
      </c>
      <c r="AK60" s="19">
        <v>6.4523648064486991</v>
      </c>
      <c r="AL60" s="19">
        <v>6.4336271670847829</v>
      </c>
      <c r="AM60" s="19">
        <v>3.0102427555277478</v>
      </c>
      <c r="AN60" s="19">
        <v>1.1909308595626145</v>
      </c>
      <c r="AO60" s="19">
        <v>2.7174296702723395</v>
      </c>
      <c r="AP60" s="19">
        <v>3.636914580355878</v>
      </c>
      <c r="AQ60" s="81">
        <v>3.7213726594768199</v>
      </c>
    </row>
    <row r="61" spans="1:43">
      <c r="A61" s="4">
        <v>145</v>
      </c>
      <c r="B61" s="5" t="s">
        <v>161</v>
      </c>
      <c r="C61" s="13" t="s">
        <v>162</v>
      </c>
      <c r="D61" s="42" t="s">
        <v>162</v>
      </c>
      <c r="E61" s="5" t="s">
        <v>44</v>
      </c>
      <c r="F61" s="23">
        <v>2004</v>
      </c>
      <c r="G61" s="24">
        <v>42.351170000000003</v>
      </c>
      <c r="H61" s="24">
        <v>-82.922979999999995</v>
      </c>
      <c r="I61" s="25"/>
      <c r="J61" s="25"/>
      <c r="L61" s="26">
        <v>1.1320754716981001</v>
      </c>
      <c r="M61" s="17">
        <f t="shared" si="0"/>
        <v>1</v>
      </c>
      <c r="N61" s="1">
        <v>69</v>
      </c>
      <c r="O61" s="18" t="s">
        <v>162</v>
      </c>
      <c r="P61" s="19">
        <v>1.0922585078519798</v>
      </c>
      <c r="Q61" s="20">
        <v>1.1320754716981001</v>
      </c>
      <c r="R61" s="19">
        <v>0.58459868635532619</v>
      </c>
      <c r="S61" s="19">
        <v>0.42920743670054279</v>
      </c>
      <c r="T61" s="19">
        <v>0.18310391438811555</v>
      </c>
      <c r="U61" s="19">
        <v>0.70608554983624716</v>
      </c>
      <c r="V61" s="19">
        <v>0.80639133477046643</v>
      </c>
      <c r="W61" s="19">
        <v>0.97199621981924456</v>
      </c>
      <c r="X61" s="19">
        <v>0.5246697792190359</v>
      </c>
      <c r="Y61" s="19">
        <v>11.524051918717824</v>
      </c>
      <c r="Z61" s="19">
        <v>1.4414834795826448</v>
      </c>
      <c r="AA61" s="19">
        <v>4.2637856138908026</v>
      </c>
      <c r="AB61" s="19">
        <v>14.825803511609065</v>
      </c>
      <c r="AC61" s="19">
        <v>0.17836408184680327</v>
      </c>
      <c r="AD61" s="19">
        <v>1.8515991432351455</v>
      </c>
      <c r="AE61" s="19">
        <v>3.4250564111045878</v>
      </c>
      <c r="AF61" s="19">
        <v>3.1839628348425948</v>
      </c>
      <c r="AG61" s="19">
        <v>12.783816759320182</v>
      </c>
      <c r="AH61" s="19">
        <v>6.5944483041357166E-2</v>
      </c>
      <c r="AI61" s="19">
        <v>8.7505395133544965</v>
      </c>
      <c r="AJ61" s="19">
        <v>13.651836526270072</v>
      </c>
      <c r="AK61" s="19">
        <v>7.0356239097307212</v>
      </c>
      <c r="AL61" s="19">
        <v>6.8189016758856384</v>
      </c>
      <c r="AM61" s="19">
        <v>2.8830342356551513</v>
      </c>
      <c r="AN61" s="19">
        <v>1.7501777055930572</v>
      </c>
      <c r="AO61" s="19">
        <v>4.714795011118162</v>
      </c>
      <c r="AP61" s="19">
        <v>3.9078520718459635</v>
      </c>
      <c r="AQ61" s="81">
        <v>4.0373822220030799</v>
      </c>
    </row>
    <row r="62" spans="1:43">
      <c r="A62" s="21">
        <v>146</v>
      </c>
      <c r="B62" s="5" t="s">
        <v>163</v>
      </c>
      <c r="C62" s="13" t="s">
        <v>164</v>
      </c>
      <c r="D62" s="42" t="s">
        <v>164</v>
      </c>
      <c r="E62" s="5" t="s">
        <v>44</v>
      </c>
      <c r="F62" s="23">
        <v>2004</v>
      </c>
      <c r="G62" s="24">
        <v>42.317929999999997</v>
      </c>
      <c r="H62" s="24">
        <v>-83.051479999999998</v>
      </c>
      <c r="I62" s="25"/>
      <c r="J62" s="25"/>
      <c r="L62" s="26">
        <v>1.9465762610833901</v>
      </c>
      <c r="M62" s="17">
        <f t="shared" si="0"/>
        <v>1</v>
      </c>
      <c r="N62" s="1">
        <v>205</v>
      </c>
      <c r="O62" s="18" t="s">
        <v>164</v>
      </c>
      <c r="P62" s="19">
        <v>1.5590396054269404</v>
      </c>
      <c r="Q62" s="20">
        <v>1.9465762610833899</v>
      </c>
      <c r="R62" s="19">
        <v>0.54253825477144324</v>
      </c>
      <c r="S62" s="19">
        <v>0.31670953754844239</v>
      </c>
      <c r="T62" s="19">
        <v>0.17371433406935402</v>
      </c>
      <c r="U62" s="19">
        <v>0.34243101586923336</v>
      </c>
      <c r="V62" s="19">
        <v>0.17812524075190034</v>
      </c>
      <c r="W62" s="19">
        <v>0.52860557842097888</v>
      </c>
      <c r="X62" s="19">
        <v>3.7839634379104967</v>
      </c>
      <c r="Y62" s="19">
        <v>12.292033985499543</v>
      </c>
      <c r="Z62" s="19">
        <v>2.2654368960490983</v>
      </c>
      <c r="AA62" s="19">
        <v>0.16851367619749361</v>
      </c>
      <c r="AB62" s="19">
        <v>15.409424085918632</v>
      </c>
      <c r="AC62" s="19">
        <v>0.12134701687844238</v>
      </c>
      <c r="AD62" s="19">
        <v>2.3857071246579338</v>
      </c>
      <c r="AE62" s="19">
        <v>3.9040023162836919</v>
      </c>
      <c r="AF62" s="19">
        <v>5.2637856138908026</v>
      </c>
      <c r="AG62" s="19">
        <v>14.325516277814559</v>
      </c>
      <c r="AH62" s="19">
        <v>0.29713270957116261</v>
      </c>
      <c r="AI62" s="19">
        <v>9.4344197306292248</v>
      </c>
      <c r="AJ62" s="19">
        <v>13.870846308211867</v>
      </c>
      <c r="AK62" s="19">
        <v>7.9994363371520842</v>
      </c>
      <c r="AL62" s="19">
        <v>7.5683361821337467</v>
      </c>
      <c r="AM62" s="19">
        <v>3.8619553641448698</v>
      </c>
      <c r="AN62" s="19">
        <v>6.500802053057158</v>
      </c>
      <c r="AO62" s="19">
        <v>0.12060409133497806</v>
      </c>
      <c r="AP62" s="19">
        <v>4.0382605751753493</v>
      </c>
      <c r="AQ62" s="81">
        <v>6.5467401527009139</v>
      </c>
    </row>
    <row r="63" spans="1:43">
      <c r="A63" s="4">
        <v>147</v>
      </c>
      <c r="B63" s="5" t="s">
        <v>165</v>
      </c>
      <c r="C63" s="13" t="s">
        <v>166</v>
      </c>
      <c r="D63" s="42" t="s">
        <v>166</v>
      </c>
      <c r="E63" s="5" t="s">
        <v>44</v>
      </c>
      <c r="F63" s="23">
        <v>2004</v>
      </c>
      <c r="G63" s="24">
        <v>42.350029999999997</v>
      </c>
      <c r="H63" s="24">
        <v>-82.985069999999993</v>
      </c>
      <c r="I63" s="25"/>
      <c r="J63" s="25"/>
      <c r="L63" s="26">
        <v>6.2363896273930903</v>
      </c>
      <c r="M63" s="17">
        <f t="shared" si="0"/>
        <v>1</v>
      </c>
      <c r="N63" s="1">
        <v>213</v>
      </c>
      <c r="O63" s="18" t="s">
        <v>166</v>
      </c>
      <c r="P63" s="19">
        <v>2.855270088773783</v>
      </c>
      <c r="Q63" s="20">
        <v>6.2363896273930894</v>
      </c>
      <c r="R63" s="19">
        <v>0.93501684732625756</v>
      </c>
      <c r="S63" s="19">
        <v>0.25025119435990451</v>
      </c>
      <c r="T63" s="19">
        <v>0.50263323468402443</v>
      </c>
      <c r="U63" s="19">
        <v>1.974241551909429</v>
      </c>
      <c r="V63" s="19">
        <v>0.51317606591366238</v>
      </c>
      <c r="W63" s="19">
        <v>0.71498464279223395</v>
      </c>
      <c r="X63" s="19">
        <v>2.5624358572373906</v>
      </c>
      <c r="Y63" s="19">
        <v>13.948640996418206</v>
      </c>
      <c r="Z63" s="19">
        <v>2.2779847472997652</v>
      </c>
      <c r="AA63" s="19">
        <v>9.0853430451113479E-2</v>
      </c>
      <c r="AB63" s="19">
        <v>15.254179762837913</v>
      </c>
      <c r="AC63" s="19">
        <v>0.54052329643821928</v>
      </c>
      <c r="AD63" s="19">
        <v>3.3924548157640446</v>
      </c>
      <c r="AE63" s="19">
        <v>4.8094144442358981</v>
      </c>
      <c r="AF63" s="19">
        <v>5.4607425637896441</v>
      </c>
      <c r="AG63" s="19">
        <v>14.580553013087457</v>
      </c>
      <c r="AH63" s="19">
        <v>0.37684601401632034</v>
      </c>
      <c r="AI63" s="19">
        <v>11.651500220652739</v>
      </c>
      <c r="AJ63" s="19">
        <v>14.648975426540328</v>
      </c>
      <c r="AK63" s="19">
        <v>8.6470986072634091</v>
      </c>
      <c r="AL63" s="19">
        <v>7.8316239368207494</v>
      </c>
      <c r="AM63" s="19">
        <v>4.9546616208378982</v>
      </c>
      <c r="AN63" s="19">
        <v>4.0815100681209167</v>
      </c>
      <c r="AO63" s="19">
        <v>4.1832090825726727E-4</v>
      </c>
      <c r="AP63" s="19">
        <v>5.266786540694901</v>
      </c>
      <c r="AQ63" s="81">
        <v>6.5145957147636642</v>
      </c>
    </row>
    <row r="64" spans="1:43">
      <c r="A64" s="21">
        <v>148</v>
      </c>
      <c r="B64" s="5" t="s">
        <v>167</v>
      </c>
      <c r="C64" s="13" t="s">
        <v>168</v>
      </c>
      <c r="D64" s="42" t="s">
        <v>168</v>
      </c>
      <c r="E64" s="5" t="s">
        <v>44</v>
      </c>
      <c r="F64" s="23">
        <v>2004</v>
      </c>
      <c r="G64" s="24">
        <v>42.337000000000003</v>
      </c>
      <c r="H64" s="24">
        <v>-83.012320000000003</v>
      </c>
      <c r="I64" s="25"/>
      <c r="J64" s="25"/>
      <c r="L64" s="26">
        <v>3.7553948769687802</v>
      </c>
      <c r="M64" s="17">
        <f t="shared" si="0"/>
        <v>1</v>
      </c>
      <c r="N64" s="1">
        <v>247</v>
      </c>
      <c r="O64" s="18" t="s">
        <v>168</v>
      </c>
      <c r="P64" s="19">
        <v>2.2495651441123834</v>
      </c>
      <c r="Q64" s="20">
        <v>3.7553948769687802</v>
      </c>
      <c r="R64" s="19">
        <v>0.31773963799171834</v>
      </c>
      <c r="S64" s="19">
        <v>0.2373424040850774</v>
      </c>
      <c r="T64" s="19">
        <v>0.36942436512651461</v>
      </c>
      <c r="U64" s="19">
        <v>0.2118453280833589</v>
      </c>
      <c r="V64" s="19">
        <v>2.7154051503726649E-2</v>
      </c>
      <c r="W64" s="19">
        <v>2.9189093867392972</v>
      </c>
      <c r="X64" s="19">
        <v>6.5237548474000846</v>
      </c>
      <c r="Y64" s="19">
        <v>11.974773067889341</v>
      </c>
      <c r="Z64" s="19">
        <v>1.9187678493251474</v>
      </c>
      <c r="AA64" s="19">
        <v>0.32711247074708549</v>
      </c>
      <c r="AB64" s="19">
        <v>14.083562429491415</v>
      </c>
      <c r="AC64" s="19">
        <v>1.8563881768140906</v>
      </c>
      <c r="AD64" s="19">
        <v>2.5467092892829517</v>
      </c>
      <c r="AE64" s="19">
        <v>6.0986637818865743</v>
      </c>
      <c r="AF64" s="19">
        <v>6.7761039880731646</v>
      </c>
      <c r="AG64" s="19">
        <v>13.435800462194786</v>
      </c>
      <c r="AH64" s="19">
        <v>2.8673034537599214</v>
      </c>
      <c r="AI64" s="19">
        <v>9.1974624464605981</v>
      </c>
      <c r="AJ64" s="19">
        <v>12.940680648424093</v>
      </c>
      <c r="AK64" s="19">
        <v>7.113742166049188</v>
      </c>
      <c r="AL64" s="19">
        <v>6.9954845188775074</v>
      </c>
      <c r="AM64" s="19">
        <v>5.0205910947732466</v>
      </c>
      <c r="AN64" s="19">
        <v>7.3767765718829823</v>
      </c>
      <c r="AO64" s="19">
        <v>1.4125105712498047</v>
      </c>
      <c r="AP64" s="19">
        <v>4.1747259877061333</v>
      </c>
      <c r="AQ64" s="81">
        <v>7.3460704407851658</v>
      </c>
    </row>
    <row r="65" spans="1:43">
      <c r="A65" s="4">
        <v>149</v>
      </c>
      <c r="B65" s="5" t="s">
        <v>169</v>
      </c>
      <c r="C65" s="13" t="s">
        <v>170</v>
      </c>
      <c r="D65" s="42" t="s">
        <v>170</v>
      </c>
      <c r="E65" s="5" t="s">
        <v>44</v>
      </c>
      <c r="F65" s="23">
        <v>2004</v>
      </c>
      <c r="G65" s="24">
        <v>42.29298</v>
      </c>
      <c r="H65" s="24">
        <v>-83.090170000000001</v>
      </c>
      <c r="I65" s="25"/>
      <c r="J65" s="25"/>
      <c r="L65" s="26">
        <v>3.0338057426207099</v>
      </c>
      <c r="M65" s="17">
        <f t="shared" si="0"/>
        <v>1</v>
      </c>
      <c r="N65" s="1">
        <v>207</v>
      </c>
      <c r="O65" s="18" t="s">
        <v>170</v>
      </c>
      <c r="P65" s="19">
        <v>2.0121416092593032</v>
      </c>
      <c r="Q65" s="20">
        <v>3.033805742620709</v>
      </c>
      <c r="R65" s="19">
        <v>0.19998670363673002</v>
      </c>
      <c r="S65" s="19">
        <v>0.35852192640460084</v>
      </c>
      <c r="T65" s="19">
        <v>0.33226322215349663</v>
      </c>
      <c r="U65" s="19">
        <v>0.68828899351922479</v>
      </c>
      <c r="V65" s="19">
        <v>0.15722697030273355</v>
      </c>
      <c r="W65" s="19">
        <v>0.61198597458297987</v>
      </c>
      <c r="X65" s="19">
        <v>2.4788636310494438</v>
      </c>
      <c r="Y65" s="19">
        <v>12.386940245324311</v>
      </c>
      <c r="Z65" s="19">
        <v>2.2612299089870462</v>
      </c>
      <c r="AA65" s="19">
        <v>0.10237594688045744</v>
      </c>
      <c r="AB65" s="19">
        <v>15.294584853365434</v>
      </c>
      <c r="AC65" s="19">
        <v>0.19320401398387493</v>
      </c>
      <c r="AD65" s="19">
        <v>2.4693650537048435</v>
      </c>
      <c r="AE65" s="19">
        <v>4.0312187306107203</v>
      </c>
      <c r="AF65" s="19">
        <v>5.1403696706515269</v>
      </c>
      <c r="AG65" s="19">
        <v>14.345058669965248</v>
      </c>
      <c r="AH65" s="19">
        <v>0.13705753089848646</v>
      </c>
      <c r="AI65" s="19">
        <v>9.9228816817258192</v>
      </c>
      <c r="AJ65" s="19">
        <v>13.47813760691872</v>
      </c>
      <c r="AK65" s="19">
        <v>8.1699250014423122</v>
      </c>
      <c r="AL65" s="19">
        <v>7.3309168781146168</v>
      </c>
      <c r="AM65" s="19">
        <v>4.2063306478710496</v>
      </c>
      <c r="AN65" s="19">
        <v>5.1799090900149345</v>
      </c>
      <c r="AO65" s="19">
        <v>0.12892683340412384</v>
      </c>
      <c r="AP65" s="19">
        <v>4.5867647433551415</v>
      </c>
      <c r="AQ65" s="81">
        <v>6.2226500224514778</v>
      </c>
    </row>
    <row r="66" spans="1:43">
      <c r="A66" s="4">
        <v>15</v>
      </c>
      <c r="B66" s="5" t="s">
        <v>171</v>
      </c>
      <c r="C66" s="13" t="s">
        <v>172</v>
      </c>
      <c r="D66" s="22" t="s">
        <v>172</v>
      </c>
      <c r="E66" s="5" t="s">
        <v>44</v>
      </c>
      <c r="F66" s="23">
        <v>1999</v>
      </c>
      <c r="G66" s="24">
        <v>42.13441606</v>
      </c>
      <c r="H66" s="24">
        <v>-83.135216319999998</v>
      </c>
      <c r="I66" s="25"/>
      <c r="J66" s="25"/>
      <c r="L66" s="26">
        <v>1.91</v>
      </c>
      <c r="M66" s="17">
        <f t="shared" si="0"/>
        <v>1</v>
      </c>
      <c r="N66" s="1">
        <v>157</v>
      </c>
      <c r="O66" s="18">
        <v>111</v>
      </c>
      <c r="P66" s="19">
        <v>1.5410191531335593</v>
      </c>
      <c r="Q66" s="20">
        <v>1.9100000000000001</v>
      </c>
      <c r="R66" s="19">
        <v>0.81645460424200678</v>
      </c>
      <c r="S66" s="19">
        <v>0.22278109585926639</v>
      </c>
      <c r="T66" s="19">
        <v>0.74608981349537762</v>
      </c>
      <c r="U66" s="19">
        <v>1.4613714786150778</v>
      </c>
      <c r="V66" s="19">
        <v>0.70375839847247423</v>
      </c>
      <c r="W66" s="19">
        <v>1.6512208622220141</v>
      </c>
      <c r="X66" s="19">
        <v>5.1930617396200631</v>
      </c>
      <c r="Y66" s="19">
        <v>12.742744056909643</v>
      </c>
      <c r="Z66" s="19">
        <v>1.8811519345735241</v>
      </c>
      <c r="AA66" s="19">
        <v>6.0580470708846107E-4</v>
      </c>
      <c r="AB66" s="19">
        <v>14.674469606504495</v>
      </c>
      <c r="AC66" s="19">
        <v>0.61375694405203562</v>
      </c>
      <c r="AD66" s="19">
        <v>2.8021646822077839</v>
      </c>
      <c r="AE66" s="19">
        <v>4.0871901521377847</v>
      </c>
      <c r="AF66" s="19">
        <v>4.4122779614343566</v>
      </c>
      <c r="AG66" s="19">
        <v>13.492282621707036</v>
      </c>
      <c r="AH66" s="19">
        <v>10.64765161394355</v>
      </c>
      <c r="AI66" s="19">
        <v>13.999910364543092</v>
      </c>
      <c r="AJ66" s="19">
        <v>7.5288364187783499</v>
      </c>
      <c r="AK66" s="19">
        <v>6.8767651694697189</v>
      </c>
      <c r="AL66" s="19">
        <v>4.0499238662066945</v>
      </c>
      <c r="AM66" s="19">
        <v>3.2813737399324112</v>
      </c>
      <c r="AN66" s="19">
        <v>0.74112507489507817</v>
      </c>
      <c r="AO66" s="19">
        <v>4.5065816815395454</v>
      </c>
      <c r="AP66" s="19">
        <v>5.7139408377573089</v>
      </c>
      <c r="AQ66" s="19">
        <v>0.32015193308743589</v>
      </c>
    </row>
    <row r="67" spans="1:43">
      <c r="A67" s="21">
        <v>150</v>
      </c>
      <c r="B67" s="5" t="s">
        <v>173</v>
      </c>
      <c r="C67" s="13" t="s">
        <v>174</v>
      </c>
      <c r="D67" s="42" t="s">
        <v>174</v>
      </c>
      <c r="E67" s="5" t="s">
        <v>44</v>
      </c>
      <c r="F67" s="23">
        <v>2004</v>
      </c>
      <c r="G67" s="24">
        <v>42.200719999999997</v>
      </c>
      <c r="H67" s="24">
        <v>-83.107470000000006</v>
      </c>
      <c r="I67" s="25"/>
      <c r="J67" s="25"/>
      <c r="L67" s="26">
        <v>4.01918064426272</v>
      </c>
      <c r="M67" s="17">
        <f t="shared" si="0"/>
        <v>1</v>
      </c>
      <c r="N67" s="1">
        <v>224</v>
      </c>
      <c r="O67" s="18" t="s">
        <v>174</v>
      </c>
      <c r="P67" s="19">
        <v>2.3274518707621108</v>
      </c>
      <c r="Q67" s="20">
        <v>4.01918064426272</v>
      </c>
      <c r="R67" s="19">
        <v>0.45896278278046548</v>
      </c>
      <c r="S67" s="19">
        <v>0.44783185781149365</v>
      </c>
      <c r="T67" s="19">
        <v>0.4031101339321419</v>
      </c>
      <c r="U67" s="19">
        <v>0.420006498697723</v>
      </c>
      <c r="V67" s="19">
        <v>0.2049822657930733</v>
      </c>
      <c r="W67" s="19">
        <v>2.9924626071691125</v>
      </c>
      <c r="X67" s="19">
        <v>2.2638314704160676</v>
      </c>
      <c r="Y67" s="19">
        <v>14.270368335507298</v>
      </c>
      <c r="Z67" s="19">
        <v>2.1712068274181422</v>
      </c>
      <c r="AA67" s="19">
        <v>0.11681719156631752</v>
      </c>
      <c r="AB67" s="19">
        <v>15.599244557880521</v>
      </c>
      <c r="AC67" s="19">
        <v>0.51237860807554558</v>
      </c>
      <c r="AD67" s="19">
        <v>3.4131878610800408</v>
      </c>
      <c r="AE67" s="19">
        <v>4.9136075118230993</v>
      </c>
      <c r="AF67" s="19">
        <v>5.5750097202949505</v>
      </c>
      <c r="AG67" s="19">
        <v>14.612580574436814</v>
      </c>
      <c r="AH67" s="19">
        <v>0.60065036162119467</v>
      </c>
      <c r="AI67" s="19">
        <v>12.076815597050832</v>
      </c>
      <c r="AJ67" s="19">
        <v>14.450631341095228</v>
      </c>
      <c r="AK67" s="19">
        <v>8.7343709196629753</v>
      </c>
      <c r="AL67" s="19">
        <v>7.6920923754275723</v>
      </c>
      <c r="AM67" s="19">
        <v>5.0259146987507926</v>
      </c>
      <c r="AN67" s="19">
        <v>4.2280490478844621</v>
      </c>
      <c r="AO67" s="19">
        <v>7.788450528365792E-4</v>
      </c>
      <c r="AP67" s="19">
        <v>5.4763816875672351</v>
      </c>
      <c r="AQ67" s="19">
        <v>6.7615512324444795</v>
      </c>
    </row>
    <row r="68" spans="1:43">
      <c r="A68" s="4">
        <v>151</v>
      </c>
      <c r="B68" s="5" t="s">
        <v>175</v>
      </c>
      <c r="C68" s="13" t="s">
        <v>176</v>
      </c>
      <c r="D68" s="42" t="s">
        <v>176</v>
      </c>
      <c r="E68" s="5" t="s">
        <v>44</v>
      </c>
      <c r="F68" s="23">
        <v>2004</v>
      </c>
      <c r="G68" s="24">
        <v>42.297530000000002</v>
      </c>
      <c r="H68" s="24">
        <v>-83.093379999999996</v>
      </c>
      <c r="I68" s="25"/>
      <c r="J68" s="25"/>
      <c r="L68" s="26">
        <v>1.8731588979379701</v>
      </c>
      <c r="M68" s="17">
        <f t="shared" si="0"/>
        <v>1</v>
      </c>
      <c r="N68" s="1">
        <v>242</v>
      </c>
      <c r="O68" s="18" t="s">
        <v>176</v>
      </c>
      <c r="P68" s="19">
        <v>1.5226377822640986</v>
      </c>
      <c r="Q68" s="20">
        <v>1.8731588979379707</v>
      </c>
      <c r="R68" s="19">
        <v>0.65056988890329359</v>
      </c>
      <c r="S68" s="19">
        <v>0.37492725668621157</v>
      </c>
      <c r="T68" s="19">
        <v>0.19259414389526344</v>
      </c>
      <c r="U68" s="19">
        <v>0.65802367414102036</v>
      </c>
      <c r="V68" s="19">
        <v>0.22571389390067323</v>
      </c>
      <c r="W68" s="19">
        <v>0.4187984644013345</v>
      </c>
      <c r="X68" s="19">
        <v>7.5097387498014188</v>
      </c>
      <c r="Y68" s="19">
        <v>11.946906274456397</v>
      </c>
      <c r="Z68" s="19">
        <v>1.4651908879259823</v>
      </c>
      <c r="AA68" s="19">
        <v>6.490667393343095E-4</v>
      </c>
      <c r="AB68" s="19">
        <v>14.566945930367295</v>
      </c>
      <c r="AC68" s="19">
        <v>0.88142969733851584</v>
      </c>
      <c r="AD68" s="19">
        <v>2.333423733725192</v>
      </c>
      <c r="AE68" s="19">
        <v>6.3008558712687615</v>
      </c>
      <c r="AF68" s="19">
        <v>7.7642081301399468</v>
      </c>
      <c r="AG68" s="19">
        <v>13.883311516379342</v>
      </c>
      <c r="AH68" s="19">
        <v>0.50994914630431065</v>
      </c>
      <c r="AI68" s="19">
        <v>9.1856188085474582</v>
      </c>
      <c r="AJ68" s="19">
        <v>12.932952892194715</v>
      </c>
      <c r="AK68" s="19">
        <v>7.9224357402331478</v>
      </c>
      <c r="AL68" s="19">
        <v>7.3237303375213481</v>
      </c>
      <c r="AM68" s="19">
        <v>5.2805852025644722</v>
      </c>
      <c r="AN68" s="19">
        <v>7.4025857582325871</v>
      </c>
      <c r="AO68" s="19">
        <v>0.50721110266771718</v>
      </c>
      <c r="AP68" s="19">
        <v>3.9736112755194717</v>
      </c>
      <c r="AQ68" s="19">
        <v>8.3793783670712614</v>
      </c>
    </row>
    <row r="69" spans="1:43">
      <c r="A69" s="21">
        <v>152</v>
      </c>
      <c r="B69" s="5" t="s">
        <v>177</v>
      </c>
      <c r="C69" s="13" t="s">
        <v>178</v>
      </c>
      <c r="D69" s="42" t="s">
        <v>178</v>
      </c>
      <c r="E69" s="5" t="s">
        <v>44</v>
      </c>
      <c r="F69" s="23">
        <v>2004</v>
      </c>
      <c r="G69" s="24">
        <v>42.21125</v>
      </c>
      <c r="H69" s="24">
        <v>-83.124769999999998</v>
      </c>
      <c r="I69" s="25"/>
      <c r="J69" s="25"/>
      <c r="L69" s="26">
        <v>3.5563531067110001</v>
      </c>
      <c r="M69" s="17">
        <f t="shared" si="0"/>
        <v>1</v>
      </c>
      <c r="N69" s="1">
        <v>223</v>
      </c>
      <c r="O69" s="18" t="s">
        <v>178</v>
      </c>
      <c r="P69" s="19">
        <v>2.1878795568705902</v>
      </c>
      <c r="Q69" s="20">
        <v>3.5563531067110006</v>
      </c>
      <c r="R69" s="19">
        <v>0.20304155596546555</v>
      </c>
      <c r="S69" s="19">
        <v>3.2806145083241478E-2</v>
      </c>
      <c r="T69" s="19">
        <v>0.44595479245639758</v>
      </c>
      <c r="U69" s="19">
        <v>0.20781124552357824</v>
      </c>
      <c r="V69" s="19">
        <v>2.8569152196770919E-2</v>
      </c>
      <c r="W69" s="19">
        <v>0.52430164859796236</v>
      </c>
      <c r="X69" s="19">
        <v>0.23700428914824515</v>
      </c>
      <c r="Y69" s="19">
        <v>14.726058466125775</v>
      </c>
      <c r="Z69" s="19">
        <v>2.3100492253513827</v>
      </c>
      <c r="AA69" s="19">
        <v>0.27034952873310281</v>
      </c>
      <c r="AB69" s="19">
        <v>12.744833837499545</v>
      </c>
      <c r="AC69" s="19">
        <v>0.43295940727610627</v>
      </c>
      <c r="AD69" s="19">
        <v>3.7729413378313352</v>
      </c>
      <c r="AE69" s="19">
        <v>5.1375035237499347</v>
      </c>
      <c r="AF69" s="19">
        <v>5.2894656309582206</v>
      </c>
      <c r="AG69" s="19">
        <v>14.855306500293887</v>
      </c>
      <c r="AH69" s="19">
        <v>9.9753023230477023E-2</v>
      </c>
      <c r="AI69" s="19">
        <v>12.229720093237413</v>
      </c>
      <c r="AJ69" s="19">
        <v>13.077316445881026</v>
      </c>
      <c r="AK69" s="19">
        <v>7.4830095771645455</v>
      </c>
      <c r="AL69" s="19">
        <v>7.1168637576908989</v>
      </c>
      <c r="AM69" s="19">
        <v>5.1064320778169288</v>
      </c>
      <c r="AN69" s="19">
        <v>2.702214251010441</v>
      </c>
      <c r="AO69" s="19">
        <v>0.21013945740166848</v>
      </c>
      <c r="AP69" s="19">
        <v>5.6973846307640237</v>
      </c>
      <c r="AQ69" s="19">
        <v>6.3640470836073213</v>
      </c>
    </row>
    <row r="70" spans="1:43">
      <c r="A70" s="4">
        <v>153</v>
      </c>
      <c r="B70" s="5" t="s">
        <v>179</v>
      </c>
      <c r="C70" s="13" t="s">
        <v>180</v>
      </c>
      <c r="D70" s="22" t="s">
        <v>180</v>
      </c>
      <c r="E70" s="5" t="s">
        <v>44</v>
      </c>
      <c r="F70" s="23">
        <v>1999</v>
      </c>
      <c r="G70" s="24">
        <v>42.337971520000004</v>
      </c>
      <c r="H70" s="24">
        <v>-82.970588239999998</v>
      </c>
      <c r="I70" s="25"/>
      <c r="J70" s="25"/>
      <c r="L70" s="26">
        <v>2.76</v>
      </c>
      <c r="M70" s="17">
        <f t="shared" si="0"/>
        <v>1</v>
      </c>
      <c r="N70" s="1">
        <v>137</v>
      </c>
      <c r="O70" s="18">
        <v>25</v>
      </c>
      <c r="P70" s="19">
        <v>1.9107326619029128</v>
      </c>
      <c r="Q70" s="20">
        <v>2.7600000000000002</v>
      </c>
      <c r="R70" s="19">
        <v>1.68093963741786</v>
      </c>
      <c r="S70" s="19">
        <v>0.38762384866676397</v>
      </c>
      <c r="T70" s="19">
        <v>1.6369174439443595</v>
      </c>
      <c r="U70" s="19">
        <v>2.8435929789211181</v>
      </c>
      <c r="V70" s="19">
        <v>3.1395196275534325E-2</v>
      </c>
      <c r="W70" s="19">
        <v>1.72359029341898</v>
      </c>
      <c r="X70" s="19">
        <v>3.8085939934886941</v>
      </c>
      <c r="Y70" s="19">
        <v>13.321617024496348</v>
      </c>
      <c r="Z70" s="19">
        <v>2.2816069325138462</v>
      </c>
      <c r="AA70" s="19">
        <v>0.55188456640711214</v>
      </c>
      <c r="AB70" s="19">
        <v>15.330290702488414</v>
      </c>
      <c r="AC70" s="19">
        <v>0.77640541447331091</v>
      </c>
      <c r="AD70" s="19">
        <v>2.9751300529121822</v>
      </c>
      <c r="AE70" s="19">
        <v>4.2154135048728953</v>
      </c>
      <c r="AF70" s="19">
        <v>4.7896837229774478</v>
      </c>
      <c r="AG70" s="19">
        <v>13.915986021225446</v>
      </c>
      <c r="AH70" s="19">
        <v>11.232369290469492</v>
      </c>
      <c r="AI70" s="19">
        <v>14.575003267240087</v>
      </c>
      <c r="AJ70" s="19">
        <v>8.3515997631585446</v>
      </c>
      <c r="AK70" s="19">
        <v>7.3317888075909918</v>
      </c>
      <c r="AL70" s="19">
        <v>4.4423085102839934</v>
      </c>
      <c r="AM70" s="19">
        <v>3.8292469792714581</v>
      </c>
      <c r="AN70" s="19">
        <v>0.86859881467874844</v>
      </c>
      <c r="AO70" s="19">
        <v>4.9446453662229146</v>
      </c>
      <c r="AP70" s="19">
        <v>6.03463889750706</v>
      </c>
      <c r="AQ70" s="19">
        <v>0.42979636545171246</v>
      </c>
    </row>
    <row r="71" spans="1:43">
      <c r="A71" s="21">
        <v>154</v>
      </c>
      <c r="B71" s="5" t="s">
        <v>181</v>
      </c>
      <c r="C71" s="13" t="s">
        <v>182</v>
      </c>
      <c r="D71" s="42" t="s">
        <v>182</v>
      </c>
      <c r="E71" s="5" t="s">
        <v>44</v>
      </c>
      <c r="F71" s="23">
        <v>2004</v>
      </c>
      <c r="G71" s="24">
        <v>42.161969999999997</v>
      </c>
      <c r="H71" s="24">
        <v>-83.119649999999993</v>
      </c>
      <c r="I71" s="25"/>
      <c r="J71" s="25"/>
      <c r="L71" s="26">
        <v>5.0309088517690403</v>
      </c>
      <c r="M71" s="17">
        <f t="shared" si="0"/>
        <v>1</v>
      </c>
      <c r="N71" s="1">
        <v>210</v>
      </c>
      <c r="O71" s="18" t="s">
        <v>182</v>
      </c>
      <c r="P71" s="19">
        <v>2.5923754311696707</v>
      </c>
      <c r="Q71" s="20">
        <v>5.0309088517690403</v>
      </c>
      <c r="R71" s="19">
        <v>0.5117040010321029</v>
      </c>
      <c r="S71" s="19">
        <v>0.39433700954009893</v>
      </c>
      <c r="T71" s="19">
        <v>0.5614910005438275</v>
      </c>
      <c r="U71" s="19">
        <v>1.7499067521621288</v>
      </c>
      <c r="V71" s="19">
        <v>0.1746824631478032</v>
      </c>
      <c r="W71" s="19">
        <v>0.58224938033716289</v>
      </c>
      <c r="X71" s="19">
        <v>2.1769359915067357</v>
      </c>
      <c r="Y71" s="19">
        <v>14.030236056361794</v>
      </c>
      <c r="Z71" s="19">
        <v>2.1798294908513021</v>
      </c>
      <c r="AA71" s="19">
        <v>0.17696099208944205</v>
      </c>
      <c r="AB71" s="19">
        <v>15.378938288801139</v>
      </c>
      <c r="AC71" s="19">
        <v>0.50741409901544032</v>
      </c>
      <c r="AD71" s="19">
        <v>3.2642361510435469</v>
      </c>
      <c r="AE71" s="19">
        <v>4.638653116466112</v>
      </c>
      <c r="AF71" s="19">
        <v>5.328046556270742</v>
      </c>
      <c r="AG71" s="19">
        <v>14.416731565278779</v>
      </c>
      <c r="AH71" s="19">
        <v>0.46686200377591763</v>
      </c>
      <c r="AI71" s="19">
        <v>11.905763049602793</v>
      </c>
      <c r="AJ71" s="19">
        <v>14.2311461634197</v>
      </c>
      <c r="AK71" s="19">
        <v>8.5445781173388404</v>
      </c>
      <c r="AL71" s="19">
        <v>7.612499945739442</v>
      </c>
      <c r="AM71" s="19">
        <v>4.738767836800192</v>
      </c>
      <c r="AN71" s="19">
        <v>3.925999418556223</v>
      </c>
      <c r="AO71" s="19">
        <v>7.9326414484054127E-4</v>
      </c>
      <c r="AP71" s="19">
        <v>5.3409182702721161</v>
      </c>
      <c r="AQ71" s="81">
        <v>6.5433412122874959</v>
      </c>
    </row>
    <row r="72" spans="1:43">
      <c r="A72" s="4">
        <v>155</v>
      </c>
      <c r="B72" s="5" t="s">
        <v>183</v>
      </c>
      <c r="C72" s="13" t="s">
        <v>184</v>
      </c>
      <c r="D72" s="42" t="s">
        <v>184</v>
      </c>
      <c r="E72" s="5" t="s">
        <v>44</v>
      </c>
      <c r="F72" s="23">
        <v>2004</v>
      </c>
      <c r="G72" s="24">
        <v>42.180370000000003</v>
      </c>
      <c r="H72" s="24">
        <v>-83.111469999999997</v>
      </c>
      <c r="I72" s="25"/>
      <c r="J72" s="25"/>
      <c r="L72" s="26">
        <v>1.8316264413091801</v>
      </c>
      <c r="M72" s="17">
        <f t="shared" si="0"/>
        <v>1</v>
      </c>
      <c r="N72" s="1">
        <v>200</v>
      </c>
      <c r="O72" s="18" t="s">
        <v>184</v>
      </c>
      <c r="P72" s="19">
        <v>1.5016309522789357</v>
      </c>
      <c r="Q72" s="20">
        <v>1.8316264413091798</v>
      </c>
      <c r="R72" s="19">
        <v>0.20832231778864704</v>
      </c>
      <c r="S72" s="19">
        <v>0.1871205619485394</v>
      </c>
      <c r="T72" s="19">
        <v>0.47448403278382745</v>
      </c>
      <c r="U72" s="19">
        <v>1.6746227475434365</v>
      </c>
      <c r="V72" s="19">
        <v>0.42479169688476254</v>
      </c>
      <c r="W72" s="19">
        <v>0.89234273113708817</v>
      </c>
      <c r="X72" s="19">
        <v>2.790483780251011</v>
      </c>
      <c r="Y72" s="19">
        <v>12.567480801143045</v>
      </c>
      <c r="Z72" s="19">
        <v>1.9927684307689242</v>
      </c>
      <c r="AA72" s="19">
        <v>7.0499243326359276E-2</v>
      </c>
      <c r="AB72" s="19">
        <v>14.481862485141031</v>
      </c>
      <c r="AC72" s="19">
        <v>0.24354722657759398</v>
      </c>
      <c r="AD72" s="19">
        <v>2.5687617827979046</v>
      </c>
      <c r="AE72" s="19">
        <v>3.4750848829487828</v>
      </c>
      <c r="AF72" s="19">
        <v>4.3219280948873626</v>
      </c>
      <c r="AG72" s="19">
        <v>13.469260236005406</v>
      </c>
      <c r="AH72" s="19">
        <v>0.24573903242928485</v>
      </c>
      <c r="AI72" s="19">
        <v>10.038918989292302</v>
      </c>
      <c r="AJ72" s="19">
        <v>13.396203382141692</v>
      </c>
      <c r="AK72" s="19">
        <v>7.4487357980293973</v>
      </c>
      <c r="AL72" s="19">
        <v>6.8341549814013192</v>
      </c>
      <c r="AM72" s="19">
        <v>3.7990873060740036</v>
      </c>
      <c r="AN72" s="19">
        <v>3.3453963753912679</v>
      </c>
      <c r="AO72" s="19">
        <v>2.7408602042130055E-4</v>
      </c>
      <c r="AP72" s="19">
        <v>4.1898245588800176</v>
      </c>
      <c r="AQ72" s="81">
        <v>5.4336271670847829</v>
      </c>
    </row>
    <row r="73" spans="1:43">
      <c r="A73" s="21">
        <v>156</v>
      </c>
      <c r="B73" s="5" t="s">
        <v>185</v>
      </c>
      <c r="C73" s="13" t="s">
        <v>186</v>
      </c>
      <c r="D73" s="42" t="s">
        <v>186</v>
      </c>
      <c r="E73" s="5" t="s">
        <v>44</v>
      </c>
      <c r="F73" s="23">
        <v>2004</v>
      </c>
      <c r="G73" s="24">
        <v>42.07038</v>
      </c>
      <c r="H73" s="24">
        <v>-83.116820000000004</v>
      </c>
      <c r="I73" s="25"/>
      <c r="J73" s="25"/>
      <c r="L73" s="26">
        <v>0.55883159626988299</v>
      </c>
      <c r="M73" s="17">
        <f t="shared" si="0"/>
        <v>1</v>
      </c>
      <c r="N73" s="1">
        <v>74</v>
      </c>
      <c r="O73" s="18" t="s">
        <v>186</v>
      </c>
      <c r="P73" s="19">
        <v>0.64046507919072859</v>
      </c>
      <c r="Q73" s="20">
        <v>0.55883159626988288</v>
      </c>
      <c r="R73" s="19">
        <v>0.15616147575788808</v>
      </c>
      <c r="S73" s="19">
        <v>2.882508533121365E-3</v>
      </c>
      <c r="T73" s="19">
        <v>0.24512586923975702</v>
      </c>
      <c r="U73" s="19">
        <v>0.29076187440695339</v>
      </c>
      <c r="V73" s="19">
        <v>0.27797806626648341</v>
      </c>
      <c r="W73" s="19">
        <v>0.16062495468200252</v>
      </c>
      <c r="X73" s="19">
        <v>1.6271487510101588</v>
      </c>
      <c r="Y73" s="19">
        <v>12.019590728357882</v>
      </c>
      <c r="Z73" s="19">
        <v>2.1845976841557606</v>
      </c>
      <c r="AA73" s="19">
        <v>4.9092930858238235</v>
      </c>
      <c r="AB73" s="19">
        <v>14.056722377830921</v>
      </c>
      <c r="AC73" s="19">
        <v>8.3652055619799878E-4</v>
      </c>
      <c r="AD73" s="19">
        <v>2.6986629998858844</v>
      </c>
      <c r="AE73" s="19">
        <v>3.1798294908513021</v>
      </c>
      <c r="AF73" s="19">
        <v>3.6099912952126787</v>
      </c>
      <c r="AG73" s="19">
        <v>13.307912302492948</v>
      </c>
      <c r="AH73" s="19">
        <v>2.624765807640914E-2</v>
      </c>
      <c r="AI73" s="19">
        <v>8.569096095262136</v>
      </c>
      <c r="AJ73" s="19">
        <v>12.76424960536716</v>
      </c>
      <c r="AK73" s="19">
        <v>7.6517692714179892</v>
      </c>
      <c r="AL73" s="19">
        <v>7.4454287592383226</v>
      </c>
      <c r="AM73" s="19">
        <v>3.4269356196483365</v>
      </c>
      <c r="AN73" s="19">
        <v>2.5094424930801784</v>
      </c>
      <c r="AO73" s="19">
        <v>5.3276873641760476</v>
      </c>
      <c r="AP73" s="19">
        <v>3.9699332746978557</v>
      </c>
      <c r="AQ73" s="81">
        <v>5.0148016023513611</v>
      </c>
    </row>
    <row r="74" spans="1:43">
      <c r="A74" s="4">
        <v>157</v>
      </c>
      <c r="B74" s="5" t="s">
        <v>187</v>
      </c>
      <c r="C74" s="13" t="s">
        <v>188</v>
      </c>
      <c r="D74" s="42" t="s">
        <v>188</v>
      </c>
      <c r="E74" s="5" t="s">
        <v>44</v>
      </c>
      <c r="F74" s="23">
        <v>2004</v>
      </c>
      <c r="G74" s="24">
        <v>42.230400000000003</v>
      </c>
      <c r="H74" s="24">
        <v>-83.136099999999999</v>
      </c>
      <c r="I74" s="25"/>
      <c r="J74" s="25"/>
      <c r="L74" s="26">
        <v>1.2542172867149901</v>
      </c>
      <c r="M74" s="17">
        <f t="shared" si="0"/>
        <v>1</v>
      </c>
      <c r="N74" s="1">
        <v>219</v>
      </c>
      <c r="O74" s="18" t="s">
        <v>188</v>
      </c>
      <c r="P74" s="19">
        <v>1.1726265853226445</v>
      </c>
      <c r="Q74" s="20">
        <v>1.2542172867149901</v>
      </c>
      <c r="R74" s="19">
        <v>0.60650150765821553</v>
      </c>
      <c r="S74" s="19">
        <v>0.33591292340705181</v>
      </c>
      <c r="T74" s="19">
        <v>0.17555324415886714</v>
      </c>
      <c r="U74" s="19">
        <v>0.86539003276027737</v>
      </c>
      <c r="V74" s="19">
        <v>0.24269344897218975</v>
      </c>
      <c r="W74" s="19">
        <v>1.1839299834044239</v>
      </c>
      <c r="X74" s="19">
        <v>5.8931447592399637</v>
      </c>
      <c r="Y74" s="19">
        <v>11.409921241249679</v>
      </c>
      <c r="Z74" s="19">
        <v>1.7268312170324931</v>
      </c>
      <c r="AA74" s="19">
        <v>4.9365900844511229E-2</v>
      </c>
      <c r="AB74" s="19">
        <v>13.56759963439058</v>
      </c>
      <c r="AC74" s="19">
        <v>0.12606097511275649</v>
      </c>
      <c r="AD74" s="19">
        <v>2.3873625408359955</v>
      </c>
      <c r="AE74" s="19">
        <v>3.4345615118726078</v>
      </c>
      <c r="AF74" s="19">
        <v>4.2241946639704331</v>
      </c>
      <c r="AG74" s="19">
        <v>13.625822975815673</v>
      </c>
      <c r="AH74" s="19">
        <v>9.3790015544832989E-2</v>
      </c>
      <c r="AI74" s="19">
        <v>8.7221244369139406</v>
      </c>
      <c r="AJ74" s="19">
        <v>12.714245517666123</v>
      </c>
      <c r="AK74" s="19">
        <v>6.7319977866437419</v>
      </c>
      <c r="AL74" s="19">
        <v>6.6091048466189593</v>
      </c>
      <c r="AM74" s="19">
        <v>3.0969364825029575</v>
      </c>
      <c r="AN74" s="19">
        <v>2.9942176474059941</v>
      </c>
      <c r="AO74" s="19">
        <v>0.12655002652411473</v>
      </c>
      <c r="AP74" s="19">
        <v>3.7876414144833261</v>
      </c>
      <c r="AQ74" s="81">
        <v>5.0643655402636281</v>
      </c>
    </row>
    <row r="75" spans="1:43">
      <c r="A75" s="21">
        <v>158</v>
      </c>
      <c r="B75" s="5" t="s">
        <v>189</v>
      </c>
      <c r="C75" s="13" t="s">
        <v>190</v>
      </c>
      <c r="D75" s="42" t="s">
        <v>190</v>
      </c>
      <c r="E75" s="5" t="s">
        <v>44</v>
      </c>
      <c r="F75" s="23">
        <v>2004</v>
      </c>
      <c r="G75" s="24">
        <v>42.172420000000002</v>
      </c>
      <c r="H75" s="24">
        <v>-83.160449999999997</v>
      </c>
      <c r="I75" s="25"/>
      <c r="J75" s="25"/>
      <c r="L75" s="26">
        <v>7.1465255007308501</v>
      </c>
      <c r="M75" s="17">
        <f t="shared" si="0"/>
        <v>1</v>
      </c>
      <c r="N75" s="1">
        <v>239</v>
      </c>
      <c r="O75" s="18" t="s">
        <v>190</v>
      </c>
      <c r="P75" s="19">
        <v>3.0261848799987803</v>
      </c>
      <c r="Q75" s="20">
        <v>7.1465255007308492</v>
      </c>
      <c r="R75" s="19">
        <v>0.73398103780009294</v>
      </c>
      <c r="S75" s="19">
        <v>0.87465190420263927</v>
      </c>
      <c r="T75" s="19">
        <v>0.4290265277252317</v>
      </c>
      <c r="U75" s="19">
        <v>1.3193459432985617</v>
      </c>
      <c r="V75" s="19">
        <v>0.24284469906886508</v>
      </c>
      <c r="W75" s="19">
        <v>0.36945504304968957</v>
      </c>
      <c r="X75" s="19">
        <v>5.17010991525117</v>
      </c>
      <c r="Y75" s="19">
        <v>13.442295588602517</v>
      </c>
      <c r="Z75" s="19">
        <v>2.0593552776164215</v>
      </c>
      <c r="AA75" s="19">
        <v>0.19748800240598138</v>
      </c>
      <c r="AB75" s="19">
        <v>15.544753179344388</v>
      </c>
      <c r="AC75" s="19">
        <v>1.8172139242583265</v>
      </c>
      <c r="AD75" s="19">
        <v>3.059528335259631</v>
      </c>
      <c r="AE75" s="19">
        <v>6.0546314487829669</v>
      </c>
      <c r="AF75" s="19">
        <v>5.9399317647276124</v>
      </c>
      <c r="AG75" s="19">
        <v>14.733492044300327</v>
      </c>
      <c r="AH75" s="19">
        <v>0.4995780470101317</v>
      </c>
      <c r="AI75" s="19">
        <v>11.152284842306582</v>
      </c>
      <c r="AJ75" s="19">
        <v>14.162784680189635</v>
      </c>
      <c r="AK75" s="19">
        <v>8.2055489111730342</v>
      </c>
      <c r="AL75" s="19">
        <v>7.6351739466749242</v>
      </c>
      <c r="AM75" s="19">
        <v>5.365972427593384</v>
      </c>
      <c r="AN75" s="19">
        <v>5.5683361821337467</v>
      </c>
      <c r="AO75" s="19">
        <v>0.383496944155365</v>
      </c>
      <c r="AP75" s="19">
        <v>4.9202933002110072</v>
      </c>
      <c r="AQ75" s="81">
        <v>7.8529975876133165</v>
      </c>
    </row>
    <row r="76" spans="1:43">
      <c r="A76" s="4">
        <v>159</v>
      </c>
      <c r="B76" s="5" t="s">
        <v>191</v>
      </c>
      <c r="C76" s="13" t="s">
        <v>192</v>
      </c>
      <c r="D76" s="42" t="s">
        <v>192</v>
      </c>
      <c r="E76" s="5" t="s">
        <v>44</v>
      </c>
      <c r="F76" s="23">
        <v>2004</v>
      </c>
      <c r="G76" s="24">
        <v>42.063769999999998</v>
      </c>
      <c r="H76" s="24">
        <v>-83.186300000000003</v>
      </c>
      <c r="I76" s="25"/>
      <c r="J76" s="25"/>
      <c r="L76" s="26">
        <v>0.86393940589371698</v>
      </c>
      <c r="M76" s="17">
        <f t="shared" si="0"/>
        <v>1</v>
      </c>
      <c r="N76" s="1">
        <v>185</v>
      </c>
      <c r="O76" s="18" t="s">
        <v>192</v>
      </c>
      <c r="P76" s="19">
        <v>0.8983549607231166</v>
      </c>
      <c r="Q76" s="20">
        <v>0.86393940589371709</v>
      </c>
      <c r="R76" s="19">
        <v>0.96484571762373039</v>
      </c>
      <c r="S76" s="19">
        <v>0.72699367778041257</v>
      </c>
      <c r="T76" s="19">
        <v>0.37803292627700585</v>
      </c>
      <c r="U76" s="19">
        <v>0.33509724867090879</v>
      </c>
      <c r="V76" s="19">
        <v>1.4355292977070054E-2</v>
      </c>
      <c r="W76" s="19">
        <v>0.74562410470582252</v>
      </c>
      <c r="X76" s="19">
        <v>2.2416767595939797</v>
      </c>
      <c r="Y76" s="19">
        <v>11.465056167831175</v>
      </c>
      <c r="Z76" s="19">
        <v>1.1466552221194652</v>
      </c>
      <c r="AA76" s="19">
        <v>4.0107798387532432</v>
      </c>
      <c r="AB76" s="19">
        <v>13.86891898838627</v>
      </c>
      <c r="AC76" s="19">
        <v>0.38725223883350374</v>
      </c>
      <c r="AD76" s="19">
        <v>2.3291235962915664</v>
      </c>
      <c r="AE76" s="19">
        <v>3.729008870337863</v>
      </c>
      <c r="AF76" s="19">
        <v>3.7782085763980877</v>
      </c>
      <c r="AG76" s="19">
        <v>13.129121992887555</v>
      </c>
      <c r="AH76" s="19">
        <v>0.26855416403354349</v>
      </c>
      <c r="AI76" s="19">
        <v>8.4962546100612784</v>
      </c>
      <c r="AJ76" s="19">
        <v>12.733650916838716</v>
      </c>
      <c r="AK76" s="19">
        <v>7.0498485494505614</v>
      </c>
      <c r="AL76" s="19">
        <v>6.9611602581366396</v>
      </c>
      <c r="AM76" s="19">
        <v>3.2523248216128171</v>
      </c>
      <c r="AN76" s="19">
        <v>2.7428685510244426</v>
      </c>
      <c r="AO76" s="19">
        <v>3.2973381736018288</v>
      </c>
      <c r="AP76" s="19">
        <v>4.2502036564992975</v>
      </c>
      <c r="AQ76" s="81">
        <v>5.6487530329895721</v>
      </c>
    </row>
    <row r="77" spans="1:43">
      <c r="A77" s="21">
        <v>16</v>
      </c>
      <c r="B77" s="5" t="s">
        <v>193</v>
      </c>
      <c r="C77" s="13" t="s">
        <v>194</v>
      </c>
      <c r="D77" s="22" t="s">
        <v>194</v>
      </c>
      <c r="E77" s="5" t="s">
        <v>44</v>
      </c>
      <c r="F77" s="23">
        <v>1999</v>
      </c>
      <c r="G77" s="24">
        <v>42.142030009999999</v>
      </c>
      <c r="H77" s="24">
        <v>-83.174231169999999</v>
      </c>
      <c r="I77" s="25"/>
      <c r="J77" s="25"/>
      <c r="L77" s="26">
        <v>1.32</v>
      </c>
      <c r="M77" s="17">
        <f t="shared" si="0"/>
        <v>1</v>
      </c>
      <c r="N77" s="1">
        <v>227</v>
      </c>
      <c r="O77" s="18">
        <v>113</v>
      </c>
      <c r="P77" s="19">
        <v>1.2141248053528475</v>
      </c>
      <c r="Q77" s="20">
        <v>1.3200000000000003</v>
      </c>
      <c r="R77" s="19">
        <v>2.1564248814185021</v>
      </c>
      <c r="S77" s="19">
        <v>1.7814606679314144</v>
      </c>
      <c r="T77" s="19">
        <v>1.6083218359045415</v>
      </c>
      <c r="U77" s="19">
        <v>3.7335405899465544</v>
      </c>
      <c r="V77" s="19">
        <v>1.2703787034145253</v>
      </c>
      <c r="W77" s="19">
        <v>1.8217839733070615</v>
      </c>
      <c r="X77" s="19">
        <v>6.8536346951967975</v>
      </c>
      <c r="Y77" s="19">
        <v>12.53101444354426</v>
      </c>
      <c r="Z77" s="19">
        <v>2.42867223256818</v>
      </c>
      <c r="AA77" s="19">
        <v>7.067474310525053E-4</v>
      </c>
      <c r="AB77" s="19">
        <v>15.133053419831631</v>
      </c>
      <c r="AC77" s="19">
        <v>1.8227475312022707</v>
      </c>
      <c r="AD77" s="19">
        <v>3.1094538930406732</v>
      </c>
      <c r="AE77" s="19">
        <v>5.9849096253481155</v>
      </c>
      <c r="AF77" s="19">
        <v>5.7058426956283075</v>
      </c>
      <c r="AG77" s="19">
        <v>15.394640336456606</v>
      </c>
      <c r="AH77" s="19">
        <v>9.3792613299554706</v>
      </c>
      <c r="AI77" s="19">
        <v>14.125357094091429</v>
      </c>
      <c r="AJ77" s="19">
        <v>9.2295771942135438</v>
      </c>
      <c r="AK77" s="19">
        <v>7.1147589414557189</v>
      </c>
      <c r="AL77" s="19">
        <v>5.6615351734091224</v>
      </c>
      <c r="AM77" s="19">
        <v>5.3804492152698655</v>
      </c>
      <c r="AN77" s="19">
        <v>1.2361987667512115</v>
      </c>
      <c r="AO77" s="19">
        <v>5.3520365446759186</v>
      </c>
      <c r="AP77" s="19">
        <v>8.3269378214848313</v>
      </c>
      <c r="AQ77" s="19">
        <v>0.56793616649710243</v>
      </c>
    </row>
    <row r="78" spans="1:43">
      <c r="A78" s="21">
        <v>160</v>
      </c>
      <c r="B78" s="5" t="s">
        <v>195</v>
      </c>
      <c r="C78" s="13" t="s">
        <v>196</v>
      </c>
      <c r="D78" s="22" t="s">
        <v>196</v>
      </c>
      <c r="E78" s="5" t="s">
        <v>44</v>
      </c>
      <c r="F78" s="23">
        <v>1999</v>
      </c>
      <c r="G78" s="24">
        <v>42.33701954</v>
      </c>
      <c r="H78" s="24">
        <v>-82.966771350000002</v>
      </c>
      <c r="I78" s="25"/>
      <c r="J78" s="25"/>
      <c r="L78" s="26">
        <v>1.7949999999999999</v>
      </c>
      <c r="M78" s="17">
        <f t="shared" si="0"/>
        <v>1</v>
      </c>
      <c r="N78" s="1">
        <v>14</v>
      </c>
      <c r="O78" s="18">
        <v>26</v>
      </c>
      <c r="P78" s="19">
        <v>1.4828482830684653</v>
      </c>
      <c r="Q78" s="20">
        <v>1.7949999999999995</v>
      </c>
      <c r="R78" s="19">
        <v>0.17148505574734801</v>
      </c>
      <c r="S78" s="19">
        <v>1.8634174139050975E-2</v>
      </c>
      <c r="T78" s="19">
        <v>0.32073146526146745</v>
      </c>
      <c r="U78" s="19">
        <v>0.62490933610248167</v>
      </c>
      <c r="V78" s="19">
        <v>0.31798544978648841</v>
      </c>
      <c r="W78" s="19">
        <v>0.2837602623021806</v>
      </c>
      <c r="X78" s="19">
        <v>1.0011846701210863</v>
      </c>
      <c r="Y78" s="19">
        <v>13.206437566216527</v>
      </c>
      <c r="Z78" s="19">
        <v>1.7811753495628331</v>
      </c>
      <c r="AA78" s="19">
        <v>5.3369843700552724E-4</v>
      </c>
      <c r="AB78" s="19">
        <v>15.753754367690439</v>
      </c>
      <c r="AC78" s="19">
        <v>0.4884964781801856</v>
      </c>
      <c r="AD78" s="19">
        <v>2.8019262342166167</v>
      </c>
      <c r="AE78" s="19">
        <v>4.0715743849779962</v>
      </c>
      <c r="AF78" s="19">
        <v>4.580900794095597</v>
      </c>
      <c r="AG78" s="19">
        <v>13.882650996570906</v>
      </c>
      <c r="AH78" s="19">
        <v>11.148677990254097</v>
      </c>
      <c r="AI78" s="19">
        <v>14.298521324351674</v>
      </c>
      <c r="AJ78" s="19">
        <v>8.043257837444747</v>
      </c>
      <c r="AK78" s="19">
        <v>7.1114094047747818</v>
      </c>
      <c r="AL78" s="19">
        <v>4.2353222358936771</v>
      </c>
      <c r="AM78" s="19">
        <v>2.1801291008778425</v>
      </c>
      <c r="AN78" s="19">
        <v>0.13975945679175011</v>
      </c>
      <c r="AO78" s="19">
        <v>4.9946305596662315</v>
      </c>
      <c r="AP78" s="19">
        <v>5.4823904724632984</v>
      </c>
      <c r="AQ78" s="19">
        <v>3.2200771558459462E-2</v>
      </c>
    </row>
    <row r="79" spans="1:43">
      <c r="A79" s="4">
        <v>161</v>
      </c>
      <c r="B79" s="5" t="s">
        <v>197</v>
      </c>
      <c r="C79" s="13" t="s">
        <v>198</v>
      </c>
      <c r="D79" s="22" t="s">
        <v>198</v>
      </c>
      <c r="E79" s="5" t="s">
        <v>44</v>
      </c>
      <c r="F79" s="23">
        <v>1999</v>
      </c>
      <c r="G79" s="24">
        <v>42.32803474</v>
      </c>
      <c r="H79" s="24">
        <v>-83.030038439999998</v>
      </c>
      <c r="I79" s="25"/>
      <c r="J79" s="25"/>
      <c r="L79" s="26">
        <v>1.7</v>
      </c>
      <c r="M79" s="17">
        <f t="shared" si="0"/>
        <v>1</v>
      </c>
      <c r="N79" s="1">
        <v>32</v>
      </c>
      <c r="O79" s="18">
        <v>27</v>
      </c>
      <c r="P79" s="19">
        <v>1.4329594072761063</v>
      </c>
      <c r="Q79" s="20">
        <v>1.7000000000000002</v>
      </c>
      <c r="R79" s="19">
        <v>0.7212082452485703</v>
      </c>
      <c r="S79" s="19">
        <v>0.74571723591599748</v>
      </c>
      <c r="T79" s="19">
        <v>0.31314047903172648</v>
      </c>
      <c r="U79" s="19">
        <v>1.1008555701606422</v>
      </c>
      <c r="V79" s="19">
        <v>2.5737561413608275E-2</v>
      </c>
      <c r="W79" s="19">
        <v>0.51187725496469705</v>
      </c>
      <c r="X79" s="19">
        <v>1.8852503471474691</v>
      </c>
      <c r="Y79" s="19">
        <v>12.536165909499633</v>
      </c>
      <c r="Z79" s="19">
        <v>4.6014428738517044</v>
      </c>
      <c r="AA79" s="19">
        <v>5.6737127892587687</v>
      </c>
      <c r="AB79" s="19">
        <v>15.626661233290884</v>
      </c>
      <c r="AC79" s="19">
        <v>1.2128028934557109</v>
      </c>
      <c r="AD79" s="19">
        <v>2.5011685800531747</v>
      </c>
      <c r="AE79" s="19">
        <v>3.7122981657563749</v>
      </c>
      <c r="AF79" s="19">
        <v>3.7929506123913228</v>
      </c>
      <c r="AG79" s="19">
        <v>13.450781307381492</v>
      </c>
      <c r="AH79" s="19">
        <v>10.348984912439731</v>
      </c>
      <c r="AI79" s="19">
        <v>14.283354916576004</v>
      </c>
      <c r="AJ79" s="19">
        <v>7.7897079939009393</v>
      </c>
      <c r="AK79" s="19">
        <v>7.7796176646937303</v>
      </c>
      <c r="AL79" s="19">
        <v>3.7528725596151733</v>
      </c>
      <c r="AM79" s="19">
        <v>2.1484791237088201</v>
      </c>
      <c r="AN79" s="19">
        <v>4.4939250471130245</v>
      </c>
      <c r="AO79" s="19">
        <v>4.703489549152108</v>
      </c>
      <c r="AP79" s="19">
        <v>4.908855061650061</v>
      </c>
      <c r="AQ79" s="19">
        <v>6.9874372488059042E-2</v>
      </c>
    </row>
    <row r="80" spans="1:43">
      <c r="A80" s="21">
        <v>162</v>
      </c>
      <c r="B80" s="5" t="s">
        <v>199</v>
      </c>
      <c r="C80" s="13" t="s">
        <v>200</v>
      </c>
      <c r="D80" s="43"/>
      <c r="E80" s="5" t="s">
        <v>44</v>
      </c>
      <c r="F80" s="44"/>
      <c r="G80" s="44"/>
      <c r="H80" s="44"/>
      <c r="I80" s="44"/>
      <c r="J80" s="44"/>
      <c r="L80" s="45"/>
      <c r="M80" s="17"/>
      <c r="N80" s="1">
        <v>132</v>
      </c>
      <c r="O80" s="18">
        <v>28</v>
      </c>
      <c r="P80" s="19">
        <v>1.2448870591235344</v>
      </c>
      <c r="Q80" s="20">
        <v>1.37</v>
      </c>
      <c r="R80" s="19">
        <v>0.38002957754621691</v>
      </c>
      <c r="S80" s="19">
        <v>0.1790099398092746</v>
      </c>
      <c r="T80" s="19">
        <v>0.20703286348328323</v>
      </c>
      <c r="U80" s="19">
        <v>0.47778436947615188</v>
      </c>
      <c r="V80" s="19">
        <v>4.1242982231881338E-2</v>
      </c>
      <c r="W80" s="19">
        <v>0.56638437030469668</v>
      </c>
      <c r="X80" s="19">
        <v>2.7910776668212551</v>
      </c>
      <c r="Y80" s="19">
        <v>12.515748550323925</v>
      </c>
      <c r="Z80" s="19">
        <v>2.8809801495832925</v>
      </c>
      <c r="AA80" s="19">
        <v>4.1832090825726727E-4</v>
      </c>
      <c r="AB80" s="19">
        <v>15.839344123787937</v>
      </c>
      <c r="AC80" s="19">
        <v>0.88164971457143271</v>
      </c>
      <c r="AD80" s="19">
        <v>2.283562456299093</v>
      </c>
      <c r="AE80" s="19">
        <v>4.0195747819495296</v>
      </c>
      <c r="AF80" s="19">
        <v>5.0769049414949343</v>
      </c>
      <c r="AG80" s="19">
        <v>14.196243220956001</v>
      </c>
      <c r="AH80" s="19">
        <v>9.0843859236254563</v>
      </c>
      <c r="AI80" s="19">
        <v>14.617013247630791</v>
      </c>
      <c r="AJ80" s="19">
        <v>8.2509683669782348</v>
      </c>
      <c r="AK80" s="19">
        <v>8.0093542257697035</v>
      </c>
      <c r="AL80" s="19">
        <v>3.9586568101882627</v>
      </c>
      <c r="AM80" s="19">
        <v>4.414810395328697</v>
      </c>
      <c r="AN80" s="19">
        <v>1.2123615930669185</v>
      </c>
      <c r="AO80" s="19">
        <v>4.4879278678931627</v>
      </c>
      <c r="AP80" s="19">
        <v>7.056230014990696</v>
      </c>
      <c r="AQ80" s="19">
        <v>0.13362896369414887</v>
      </c>
    </row>
    <row r="81" spans="1:43">
      <c r="A81" s="4">
        <v>163</v>
      </c>
      <c r="B81" s="5" t="s">
        <v>201</v>
      </c>
      <c r="C81" s="13" t="s">
        <v>202</v>
      </c>
      <c r="D81" s="22" t="s">
        <v>202</v>
      </c>
      <c r="E81" s="5" t="s">
        <v>44</v>
      </c>
      <c r="F81" s="23">
        <v>1999</v>
      </c>
      <c r="G81" s="24">
        <v>42.309682760000001</v>
      </c>
      <c r="H81" s="24">
        <v>-83.08158392</v>
      </c>
      <c r="I81" s="25"/>
      <c r="J81" s="25"/>
      <c r="L81" s="26">
        <v>1.39</v>
      </c>
      <c r="M81" s="17">
        <f>(L81=Q81)*1</f>
        <v>1</v>
      </c>
      <c r="N81" s="1">
        <v>233</v>
      </c>
      <c r="O81" s="18">
        <v>29</v>
      </c>
      <c r="P81" s="19">
        <v>1.2570106182060239</v>
      </c>
      <c r="Q81" s="20">
        <v>1.3900000000000001</v>
      </c>
      <c r="R81" s="19">
        <v>0.83888970476425329</v>
      </c>
      <c r="S81" s="19">
        <v>1.1689849778735455</v>
      </c>
      <c r="T81" s="19">
        <v>1.0691189800837293</v>
      </c>
      <c r="U81" s="19">
        <v>0.64429785119793581</v>
      </c>
      <c r="V81" s="19">
        <v>0.14411406118505463</v>
      </c>
      <c r="W81" s="19">
        <v>2.2310301564163839</v>
      </c>
      <c r="X81" s="19">
        <v>7.1420361518532216</v>
      </c>
      <c r="Y81" s="19">
        <v>12.369069542637925</v>
      </c>
      <c r="Z81" s="19">
        <v>1.9799436310226228</v>
      </c>
      <c r="AA81" s="19">
        <v>0.52270768220398478</v>
      </c>
      <c r="AB81" s="19">
        <v>15.041982979685381</v>
      </c>
      <c r="AC81" s="19">
        <v>0.88012931205054756</v>
      </c>
      <c r="AD81" s="19">
        <v>2.4973848190761001</v>
      </c>
      <c r="AE81" s="19">
        <v>5.0143971675447805</v>
      </c>
      <c r="AF81" s="19">
        <v>6.2116467040397509</v>
      </c>
      <c r="AG81" s="19">
        <v>14.360250505744114</v>
      </c>
      <c r="AH81" s="19">
        <v>9.8065176520007729</v>
      </c>
      <c r="AI81" s="19">
        <v>13.413014057061417</v>
      </c>
      <c r="AJ81" s="19">
        <v>7.8934305929905761</v>
      </c>
      <c r="AK81" s="19">
        <v>8.0060595791969842</v>
      </c>
      <c r="AL81" s="19">
        <v>4.2540212021709651</v>
      </c>
      <c r="AM81" s="19">
        <v>7.4496621975917998</v>
      </c>
      <c r="AN81" s="19">
        <v>1.7613010625913925</v>
      </c>
      <c r="AO81" s="19">
        <v>4.8332967559625235</v>
      </c>
      <c r="AP81" s="19">
        <v>6.7831199251060177</v>
      </c>
      <c r="AQ81" s="19">
        <v>0.292259025602571</v>
      </c>
    </row>
    <row r="82" spans="1:43">
      <c r="A82" s="21">
        <v>164</v>
      </c>
      <c r="B82" s="5" t="s">
        <v>203</v>
      </c>
      <c r="C82" s="13" t="s">
        <v>204</v>
      </c>
      <c r="D82" s="22" t="s">
        <v>204</v>
      </c>
      <c r="E82" s="5" t="s">
        <v>44</v>
      </c>
      <c r="F82" s="23">
        <v>1999</v>
      </c>
      <c r="G82" s="24">
        <v>42.321988820000001</v>
      </c>
      <c r="H82" s="24">
        <v>-83.055437510000004</v>
      </c>
      <c r="I82" s="25"/>
      <c r="J82" s="25"/>
      <c r="L82" s="26">
        <v>1.81</v>
      </c>
      <c r="M82" s="17">
        <f>(L82=Q82)*1</f>
        <v>1</v>
      </c>
      <c r="N82" s="1">
        <v>234</v>
      </c>
      <c r="O82" s="18">
        <v>30</v>
      </c>
      <c r="P82" s="19">
        <v>1.4905701304462013</v>
      </c>
      <c r="Q82" s="20">
        <v>1.8099999999999996</v>
      </c>
      <c r="R82" s="19">
        <v>0.81130856803007445</v>
      </c>
      <c r="S82" s="19">
        <v>1.4757563542362819</v>
      </c>
      <c r="T82" s="19">
        <v>0.60212443297865637</v>
      </c>
      <c r="U82" s="19">
        <v>0.74065271415658052</v>
      </c>
      <c r="V82" s="19">
        <v>0.20797771483509461</v>
      </c>
      <c r="W82" s="19">
        <v>3.053139170716697</v>
      </c>
      <c r="X82" s="19">
        <v>8.8507813643358322</v>
      </c>
      <c r="Y82" s="19">
        <v>11.746609358610552</v>
      </c>
      <c r="Z82" s="19">
        <v>0.97539630883201767</v>
      </c>
      <c r="AA82" s="19">
        <v>7.788450528365792E-4</v>
      </c>
      <c r="AB82" s="19">
        <v>14.184675077421021</v>
      </c>
      <c r="AC82" s="19">
        <v>0.49166453266147175</v>
      </c>
      <c r="AD82" s="19">
        <v>2.1571385814710036</v>
      </c>
      <c r="AE82" s="19">
        <v>4.2628707427156618</v>
      </c>
      <c r="AF82" s="19">
        <v>4.8361339464640203</v>
      </c>
      <c r="AG82" s="19">
        <v>13.286000570945603</v>
      </c>
      <c r="AH82" s="19">
        <v>9.0440170974538443</v>
      </c>
      <c r="AI82" s="19">
        <v>12.631589209749142</v>
      </c>
      <c r="AJ82" s="19">
        <v>7.3404900493809704</v>
      </c>
      <c r="AK82" s="19">
        <v>5.4874229903972633</v>
      </c>
      <c r="AL82" s="19">
        <v>3.5343036195205468</v>
      </c>
      <c r="AM82" s="19">
        <v>5.1629430429363961</v>
      </c>
      <c r="AN82" s="19">
        <v>0.30239966772661042</v>
      </c>
      <c r="AO82" s="19">
        <v>4.6195801637939962</v>
      </c>
      <c r="AP82" s="19">
        <v>5.755487186087124</v>
      </c>
      <c r="AQ82" s="19">
        <v>0.43192947377348301</v>
      </c>
    </row>
    <row r="83" spans="1:43">
      <c r="A83" s="4">
        <v>165</v>
      </c>
      <c r="B83" s="5" t="s">
        <v>205</v>
      </c>
      <c r="C83" s="13" t="s">
        <v>206</v>
      </c>
      <c r="D83" s="22" t="s">
        <v>206</v>
      </c>
      <c r="E83" s="5" t="s">
        <v>44</v>
      </c>
      <c r="F83" s="23">
        <v>1999</v>
      </c>
      <c r="G83" s="24">
        <v>42.318018469999998</v>
      </c>
      <c r="H83" s="24">
        <v>-83.051862009999994</v>
      </c>
      <c r="I83" s="25"/>
      <c r="J83" s="25"/>
      <c r="L83" s="26">
        <v>6.67</v>
      </c>
      <c r="M83" s="17">
        <f>(L83=Q83)*1</f>
        <v>1</v>
      </c>
      <c r="N83" s="1">
        <v>209</v>
      </c>
      <c r="O83" s="18">
        <v>31</v>
      </c>
      <c r="P83" s="19">
        <v>2.9392265777282085</v>
      </c>
      <c r="Q83" s="20">
        <v>6.669999999999999</v>
      </c>
      <c r="R83" s="19">
        <v>2.7154051503726649E-2</v>
      </c>
      <c r="S83" s="19">
        <v>3.9840264531791098E-2</v>
      </c>
      <c r="T83" s="19">
        <v>7.1955014042037659E-3</v>
      </c>
      <c r="U83" s="19">
        <v>0.75741987569275326</v>
      </c>
      <c r="V83" s="19">
        <v>3.2806145083241478E-2</v>
      </c>
      <c r="W83" s="19">
        <v>2.8569152196770919E-2</v>
      </c>
      <c r="X83" s="19">
        <v>10.52483218423291</v>
      </c>
      <c r="Y83" s="19">
        <v>11.962452015970197</v>
      </c>
      <c r="Z83" s="19">
        <v>4.835548817512179</v>
      </c>
      <c r="AA83" s="19">
        <v>6.0008563054141444</v>
      </c>
      <c r="AB83" s="19">
        <v>15.461076740318695</v>
      </c>
      <c r="AC83" s="19">
        <v>1.4882953908249026</v>
      </c>
      <c r="AD83" s="19">
        <v>2.3626650813070227</v>
      </c>
      <c r="AE83" s="19">
        <v>4.254611580949164</v>
      </c>
      <c r="AF83" s="19">
        <v>4.1892798178808217</v>
      </c>
      <c r="AG83" s="19">
        <v>13.904289651709821</v>
      </c>
      <c r="AH83" s="19">
        <v>9.0229967374680502</v>
      </c>
      <c r="AI83" s="19">
        <v>13.029558040360179</v>
      </c>
      <c r="AJ83" s="19">
        <v>7.4096508534768493</v>
      </c>
      <c r="AK83" s="19">
        <v>7.9740017402681298</v>
      </c>
      <c r="AL83" s="19">
        <v>3.9215703189623832</v>
      </c>
      <c r="AM83" s="19">
        <v>6.0951304720243984</v>
      </c>
      <c r="AN83" s="19">
        <v>4.8744261554010313</v>
      </c>
      <c r="AO83" s="19">
        <v>4.3296628024786052</v>
      </c>
      <c r="AP83" s="19">
        <v>5.7730803868236995</v>
      </c>
      <c r="AQ83" s="19">
        <v>1.4585860738459526</v>
      </c>
    </row>
    <row r="84" spans="1:43">
      <c r="A84" s="21">
        <v>166</v>
      </c>
      <c r="B84" s="5" t="s">
        <v>207</v>
      </c>
      <c r="C84" s="13" t="s">
        <v>208</v>
      </c>
      <c r="D84" s="46"/>
      <c r="E84" s="5" t="s">
        <v>44</v>
      </c>
      <c r="F84" s="47"/>
      <c r="G84" s="48"/>
      <c r="H84" s="48"/>
      <c r="I84" s="49"/>
      <c r="J84" s="49"/>
      <c r="L84" s="50"/>
      <c r="M84" s="17"/>
      <c r="N84" s="1">
        <v>29</v>
      </c>
      <c r="O84" s="18">
        <v>32</v>
      </c>
      <c r="P84" s="19">
        <v>2.6345932684457569</v>
      </c>
      <c r="Q84" s="20">
        <v>5.21</v>
      </c>
      <c r="R84" s="19">
        <v>0.29714022888366021</v>
      </c>
      <c r="S84" s="19">
        <v>2.882508533121365E-3</v>
      </c>
      <c r="T84" s="19">
        <v>0.1672710330734104</v>
      </c>
      <c r="U84" s="19">
        <v>0.42463269307661045</v>
      </c>
      <c r="V84" s="19">
        <v>1.3060970770449214</v>
      </c>
      <c r="W84" s="19">
        <v>0.23698891828879642</v>
      </c>
      <c r="X84" s="19">
        <v>0.79486261701897021</v>
      </c>
      <c r="Y84" s="19">
        <v>11.839623761089932</v>
      </c>
      <c r="Z84" s="19">
        <v>1.0124149089026029</v>
      </c>
      <c r="AA84" s="19">
        <v>7.9326414484054127E-4</v>
      </c>
      <c r="AB84" s="19">
        <v>14.704983028251199</v>
      </c>
      <c r="AC84" s="19">
        <v>0.38921786615156057</v>
      </c>
      <c r="AD84" s="19">
        <v>2.3913428546356612</v>
      </c>
      <c r="AE84" s="19">
        <v>3.3685827827309063</v>
      </c>
      <c r="AF84" s="19">
        <v>3.9198214157522147</v>
      </c>
      <c r="AG84" s="19">
        <v>13.519384813508367</v>
      </c>
      <c r="AH84" s="19">
        <v>8.7594680277489356</v>
      </c>
      <c r="AI84" s="19">
        <v>12.889840658497089</v>
      </c>
      <c r="AJ84" s="19">
        <v>7.4470630850484252</v>
      </c>
      <c r="AK84" s="19">
        <v>6.6865274886055808</v>
      </c>
      <c r="AL84" s="19">
        <v>3.5162296486064433</v>
      </c>
      <c r="AM84" s="19">
        <v>2.5660887186078183</v>
      </c>
      <c r="AN84" s="19">
        <v>1.8753816559884771E-4</v>
      </c>
      <c r="AO84" s="19">
        <v>4.6433162184521706</v>
      </c>
      <c r="AP84" s="19">
        <v>4.4819878036878382</v>
      </c>
      <c r="AQ84" s="19">
        <v>2.9472608786414965E-2</v>
      </c>
    </row>
    <row r="85" spans="1:43">
      <c r="A85" s="4">
        <v>167</v>
      </c>
      <c r="B85" s="5" t="s">
        <v>209</v>
      </c>
      <c r="C85" s="13" t="s">
        <v>210</v>
      </c>
      <c r="D85" s="22" t="s">
        <v>210</v>
      </c>
      <c r="E85" s="5" t="s">
        <v>44</v>
      </c>
      <c r="F85" s="23">
        <v>1999</v>
      </c>
      <c r="G85" s="24">
        <v>42.286778259999998</v>
      </c>
      <c r="H85" s="24">
        <v>-83.094098029999998</v>
      </c>
      <c r="I85" s="25"/>
      <c r="J85" s="25"/>
      <c r="L85" s="26">
        <v>1.45</v>
      </c>
      <c r="M85" s="17">
        <f t="shared" ref="M85:M90" si="1">(L85=Q85)*1</f>
        <v>1</v>
      </c>
      <c r="N85" s="1">
        <v>172</v>
      </c>
      <c r="O85" s="18">
        <v>33</v>
      </c>
      <c r="P85" s="19">
        <v>1.2927817492278459</v>
      </c>
      <c r="Q85" s="20">
        <v>1.4500000000000002</v>
      </c>
      <c r="R85" s="19">
        <v>0.89688655388703187</v>
      </c>
      <c r="S85" s="19">
        <v>0.26694919595858652</v>
      </c>
      <c r="T85" s="19">
        <v>0.65960368681738824</v>
      </c>
      <c r="U85" s="19">
        <v>1.4719589691846326</v>
      </c>
      <c r="V85" s="19">
        <v>1.4355292977070054E-2</v>
      </c>
      <c r="W85" s="19">
        <v>0.81984199725193185</v>
      </c>
      <c r="X85" s="19">
        <v>4.8648789502630576</v>
      </c>
      <c r="Y85" s="19">
        <v>12.473350722082843</v>
      </c>
      <c r="Z85" s="19">
        <v>1.3866023803473246</v>
      </c>
      <c r="AA85" s="19">
        <v>2.7408602042130055E-4</v>
      </c>
      <c r="AB85" s="19">
        <v>14.930227310670537</v>
      </c>
      <c r="AC85" s="19">
        <v>0.39999814805486433</v>
      </c>
      <c r="AD85" s="19">
        <v>2.3560672168604726</v>
      </c>
      <c r="AE85" s="19">
        <v>4.0490723927837742</v>
      </c>
      <c r="AF85" s="19">
        <v>4.5225154783767714</v>
      </c>
      <c r="AG85" s="19">
        <v>13.739240823662287</v>
      </c>
      <c r="AH85" s="19">
        <v>10.124670875743192</v>
      </c>
      <c r="AI85" s="19">
        <v>13.186761836684711</v>
      </c>
      <c r="AJ85" s="19">
        <v>7.6296924813008742</v>
      </c>
      <c r="AK85" s="19">
        <v>6.8131622988510792</v>
      </c>
      <c r="AL85" s="19">
        <v>3.6807064958863966</v>
      </c>
      <c r="AM85" s="19">
        <v>4.5634497096745541</v>
      </c>
      <c r="AN85" s="19">
        <v>0.91431505561265192</v>
      </c>
      <c r="AO85" s="19">
        <v>4.8573605856042228</v>
      </c>
      <c r="AP85" s="19">
        <v>5.8995462171051658</v>
      </c>
      <c r="AQ85" s="19">
        <v>0.1757709920423407</v>
      </c>
    </row>
    <row r="86" spans="1:43">
      <c r="A86" s="21">
        <v>168</v>
      </c>
      <c r="B86" s="5" t="s">
        <v>211</v>
      </c>
      <c r="C86" s="13" t="s">
        <v>212</v>
      </c>
      <c r="D86" s="22" t="s">
        <v>212</v>
      </c>
      <c r="E86" s="5" t="s">
        <v>44</v>
      </c>
      <c r="F86" s="23">
        <v>1999</v>
      </c>
      <c r="G86" s="24">
        <v>42.297311749999999</v>
      </c>
      <c r="H86" s="24">
        <v>-83.093282610000003</v>
      </c>
      <c r="I86" s="25"/>
      <c r="J86" s="25"/>
      <c r="L86" s="26">
        <v>19.149999999999999</v>
      </c>
      <c r="M86" s="17">
        <f t="shared" si="1"/>
        <v>1</v>
      </c>
      <c r="N86" s="1">
        <v>246</v>
      </c>
      <c r="O86" s="18">
        <v>34</v>
      </c>
      <c r="P86" s="19">
        <v>4.3327079336406049</v>
      </c>
      <c r="Q86" s="20">
        <v>19.149999999999995</v>
      </c>
      <c r="R86" s="19">
        <v>1.7497394178463521</v>
      </c>
      <c r="S86" s="19">
        <v>1.7490586757780724</v>
      </c>
      <c r="T86" s="19">
        <v>1.3411938280815474</v>
      </c>
      <c r="U86" s="19">
        <v>0.8509244444408337</v>
      </c>
      <c r="V86" s="19">
        <v>3.4215715337912983E-2</v>
      </c>
      <c r="W86" s="19">
        <v>2.6387141462722772</v>
      </c>
      <c r="X86" s="19">
        <v>9.1215937985883873</v>
      </c>
      <c r="Y86" s="19">
        <v>12.088935885485833</v>
      </c>
      <c r="Z86" s="19">
        <v>2.101866697383953</v>
      </c>
      <c r="AA86" s="19">
        <v>0.36011959230475959</v>
      </c>
      <c r="AB86" s="19">
        <v>14.821772256632348</v>
      </c>
      <c r="AC86" s="19">
        <v>0.85453007328159059</v>
      </c>
      <c r="AD86" s="19">
        <v>2.5094954964554916</v>
      </c>
      <c r="AE86" s="19">
        <v>5.2852969402597925</v>
      </c>
      <c r="AF86" s="19">
        <v>7.3403107397797989</v>
      </c>
      <c r="AG86" s="19">
        <v>14.024629711378347</v>
      </c>
      <c r="AH86" s="19">
        <v>9.3743532962217824</v>
      </c>
      <c r="AI86" s="19">
        <v>13.022812545439365</v>
      </c>
      <c r="AJ86" s="19">
        <v>8.1079968597560637</v>
      </c>
      <c r="AK86" s="19">
        <v>6.9523028222756533</v>
      </c>
      <c r="AL86" s="19">
        <v>5.4579267309841972</v>
      </c>
      <c r="AM86" s="19">
        <v>6.968147996031977</v>
      </c>
      <c r="AN86" s="19">
        <v>2.2871423588038748</v>
      </c>
      <c r="AO86" s="19">
        <v>4.825970298436312</v>
      </c>
      <c r="AP86" s="19">
        <v>7.3923115196352684</v>
      </c>
      <c r="AQ86" s="19">
        <v>0.44269118536046981</v>
      </c>
    </row>
    <row r="87" spans="1:43">
      <c r="A87" s="4">
        <v>169</v>
      </c>
      <c r="B87" s="5" t="s">
        <v>213</v>
      </c>
      <c r="C87" s="13" t="s">
        <v>214</v>
      </c>
      <c r="D87" s="22" t="s">
        <v>214</v>
      </c>
      <c r="E87" s="5" t="s">
        <v>44</v>
      </c>
      <c r="F87" s="23">
        <v>1999</v>
      </c>
      <c r="G87" s="24">
        <v>42.293170859999996</v>
      </c>
      <c r="H87" s="24">
        <v>-83.090234269999996</v>
      </c>
      <c r="I87" s="25"/>
      <c r="J87" s="25"/>
      <c r="L87" s="26">
        <v>3.99</v>
      </c>
      <c r="M87" s="17">
        <f t="shared" si="1"/>
        <v>1</v>
      </c>
      <c r="N87" s="1">
        <v>141</v>
      </c>
      <c r="O87" s="18">
        <v>35</v>
      </c>
      <c r="P87" s="19">
        <v>2.3190398155625358</v>
      </c>
      <c r="Q87" s="20">
        <v>3.9899999999999993</v>
      </c>
      <c r="R87" s="19">
        <v>0.51751024532381806</v>
      </c>
      <c r="S87" s="19">
        <v>0.18875547947942942</v>
      </c>
      <c r="T87" s="19">
        <v>0.40799425169567077</v>
      </c>
      <c r="U87" s="19">
        <v>1.0177706305887155</v>
      </c>
      <c r="V87" s="19">
        <v>0.44998706965597601</v>
      </c>
      <c r="W87" s="19">
        <v>0.62828485039894655</v>
      </c>
      <c r="X87" s="19">
        <v>3.9067336763547886</v>
      </c>
      <c r="Y87" s="19">
        <v>11.787870574090466</v>
      </c>
      <c r="Z87" s="19">
        <v>2.0654880243676059</v>
      </c>
      <c r="AA87" s="19">
        <v>3.0293415161399169E-4</v>
      </c>
      <c r="AB87" s="19">
        <v>16.095609157014959</v>
      </c>
      <c r="AC87" s="19">
        <v>0.35421327885456227</v>
      </c>
      <c r="AD87" s="19">
        <v>2.2138535660588166</v>
      </c>
      <c r="AE87" s="19">
        <v>4.0483952086525328</v>
      </c>
      <c r="AF87" s="19">
        <v>4.8201784900323839</v>
      </c>
      <c r="AG87" s="19">
        <v>13.769469178703147</v>
      </c>
      <c r="AH87" s="19">
        <v>9.3437786593880663</v>
      </c>
      <c r="AI87" s="19">
        <v>13.737971114305738</v>
      </c>
      <c r="AJ87" s="19">
        <v>8.1864196885702309</v>
      </c>
      <c r="AK87" s="19">
        <v>5.3604270738831774</v>
      </c>
      <c r="AL87" s="19">
        <v>4.0922391870000618</v>
      </c>
      <c r="AM87" s="19">
        <v>4.0452118933584797</v>
      </c>
      <c r="AN87" s="19">
        <v>0.73887930501988675</v>
      </c>
      <c r="AO87" s="19">
        <v>4.3367754998712158</v>
      </c>
      <c r="AP87" s="19">
        <v>6.096760624774257</v>
      </c>
      <c r="AQ87" s="19">
        <v>1.7805277953319543E-2</v>
      </c>
    </row>
    <row r="88" spans="1:43">
      <c r="A88" s="4">
        <v>17</v>
      </c>
      <c r="B88" s="5" t="s">
        <v>215</v>
      </c>
      <c r="C88" s="13" t="s">
        <v>216</v>
      </c>
      <c r="D88" s="22" t="s">
        <v>216</v>
      </c>
      <c r="E88" s="5" t="s">
        <v>44</v>
      </c>
      <c r="F88" s="23">
        <v>1999</v>
      </c>
      <c r="G88" s="24">
        <v>42.135731159999999</v>
      </c>
      <c r="H88" s="24">
        <v>-83.173483219999994</v>
      </c>
      <c r="I88" s="25"/>
      <c r="J88" s="25"/>
      <c r="L88" s="26">
        <v>2.27</v>
      </c>
      <c r="M88" s="17">
        <f t="shared" si="1"/>
        <v>1</v>
      </c>
      <c r="N88" s="1">
        <v>221</v>
      </c>
      <c r="O88" s="18">
        <v>114</v>
      </c>
      <c r="P88" s="19">
        <v>1.7092906357233579</v>
      </c>
      <c r="Q88" s="20">
        <v>2.2700000000000005</v>
      </c>
      <c r="R88" s="19">
        <v>2.8998423026367388</v>
      </c>
      <c r="S88" s="19">
        <v>8.6303051434400563E-3</v>
      </c>
      <c r="T88" s="19">
        <v>2.7048195696091524</v>
      </c>
      <c r="U88" s="19">
        <v>9.9908741970283366</v>
      </c>
      <c r="V88" s="19">
        <v>1.4419741739063218E-3</v>
      </c>
      <c r="W88" s="19">
        <v>2.7867098588029933</v>
      </c>
      <c r="X88" s="19">
        <v>8.4126643804125791</v>
      </c>
      <c r="Y88" s="19">
        <v>12.219877172119567</v>
      </c>
      <c r="Z88" s="19">
        <v>1.9779728780007382</v>
      </c>
      <c r="AA88" s="19">
        <v>8.2210189651821047E-4</v>
      </c>
      <c r="AB88" s="19">
        <v>14.737419908847226</v>
      </c>
      <c r="AC88" s="19">
        <v>1.1043124170738108</v>
      </c>
      <c r="AD88" s="19">
        <v>2.928154461974481</v>
      </c>
      <c r="AE88" s="19">
        <v>5.2045213229020746</v>
      </c>
      <c r="AF88" s="19">
        <v>5.4939238879874992</v>
      </c>
      <c r="AG88" s="19">
        <v>15.067620518206002</v>
      </c>
      <c r="AH88" s="19">
        <v>9.6324809635207256</v>
      </c>
      <c r="AI88" s="19">
        <v>13.209463360054258</v>
      </c>
      <c r="AJ88" s="19">
        <v>8.6404698642088107</v>
      </c>
      <c r="AK88" s="19">
        <v>6.7435982013949776</v>
      </c>
      <c r="AL88" s="19">
        <v>5.1337595896814561</v>
      </c>
      <c r="AM88" s="19">
        <v>5.1737148311722674</v>
      </c>
      <c r="AN88" s="19">
        <v>1.0523965669758395</v>
      </c>
      <c r="AO88" s="19">
        <v>4.841929503154887</v>
      </c>
      <c r="AP88" s="19">
        <v>7.4300432513437222</v>
      </c>
      <c r="AQ88" s="19">
        <v>0.61198834818484615</v>
      </c>
    </row>
    <row r="89" spans="1:43">
      <c r="A89" s="21">
        <v>170</v>
      </c>
      <c r="B89" s="5" t="s">
        <v>217</v>
      </c>
      <c r="C89" s="13" t="s">
        <v>218</v>
      </c>
      <c r="D89" s="22" t="s">
        <v>218</v>
      </c>
      <c r="E89" s="5" t="s">
        <v>44</v>
      </c>
      <c r="F89" s="23">
        <v>1999</v>
      </c>
      <c r="G89" s="24">
        <v>42.297519469999997</v>
      </c>
      <c r="H89" s="24">
        <v>-83.085853409999999</v>
      </c>
      <c r="I89" s="25"/>
      <c r="J89" s="25"/>
      <c r="L89" s="26">
        <v>2.1800000000000002</v>
      </c>
      <c r="M89" s="17">
        <f t="shared" si="1"/>
        <v>1</v>
      </c>
      <c r="N89" s="1">
        <v>27</v>
      </c>
      <c r="O89" s="18">
        <v>36</v>
      </c>
      <c r="P89" s="19">
        <v>1.6690267655096307</v>
      </c>
      <c r="Q89" s="20">
        <v>2.1799999999999997</v>
      </c>
      <c r="R89" s="19">
        <v>0.69029421749026032</v>
      </c>
      <c r="S89" s="19">
        <v>0.61928455894965984</v>
      </c>
      <c r="T89" s="19">
        <v>0.19780229461861948</v>
      </c>
      <c r="U89" s="19">
        <v>1.0436895908303587</v>
      </c>
      <c r="V89" s="19">
        <v>1.5782997240927459E-2</v>
      </c>
      <c r="W89" s="19">
        <v>2.1479727410451392E-2</v>
      </c>
      <c r="X89" s="19">
        <v>0.71833784535734224</v>
      </c>
      <c r="Y89" s="19">
        <v>13.313403638809389</v>
      </c>
      <c r="Z89" s="19">
        <v>2.3357225602310776</v>
      </c>
      <c r="AA89" s="19">
        <v>1.5868772683289012E-4</v>
      </c>
      <c r="AB89" s="19">
        <v>16.075205618920865</v>
      </c>
      <c r="AC89" s="19">
        <v>0.42926679182156946</v>
      </c>
      <c r="AD89" s="19">
        <v>3.0889214758372847</v>
      </c>
      <c r="AE89" s="19">
        <v>4.0798647886111477</v>
      </c>
      <c r="AF89" s="19">
        <v>4.9517644846628039</v>
      </c>
      <c r="AG89" s="19">
        <v>14.125137620486555</v>
      </c>
      <c r="AH89" s="19">
        <v>11.443948440913129</v>
      </c>
      <c r="AI89" s="19">
        <v>13.891084936663432</v>
      </c>
      <c r="AJ89" s="19">
        <v>8.4510921529606939</v>
      </c>
      <c r="AK89" s="19">
        <v>7.1313808415916142</v>
      </c>
      <c r="AL89" s="19">
        <v>4.5021410304369471</v>
      </c>
      <c r="AM89" s="19">
        <v>2.4231029060927267</v>
      </c>
      <c r="AN89" s="19">
        <v>0.44688164365553973</v>
      </c>
      <c r="AO89" s="19">
        <v>4.9786594769923065</v>
      </c>
      <c r="AP89" s="19">
        <v>5.4658200211512744</v>
      </c>
      <c r="AQ89" s="19">
        <v>2.5420880607285624E-2</v>
      </c>
    </row>
    <row r="90" spans="1:43">
      <c r="A90" s="4">
        <v>171</v>
      </c>
      <c r="B90" s="5" t="s">
        <v>219</v>
      </c>
      <c r="C90" s="13" t="s">
        <v>220</v>
      </c>
      <c r="D90" s="22" t="s">
        <v>220</v>
      </c>
      <c r="E90" s="5" t="s">
        <v>44</v>
      </c>
      <c r="F90" s="23">
        <v>1999</v>
      </c>
      <c r="G90" s="24">
        <v>42.302906020000002</v>
      </c>
      <c r="H90" s="24">
        <v>-83.083811179999998</v>
      </c>
      <c r="I90" s="25"/>
      <c r="J90" s="25"/>
      <c r="L90" s="26">
        <v>3.91</v>
      </c>
      <c r="M90" s="17">
        <f t="shared" si="1"/>
        <v>1</v>
      </c>
      <c r="N90" s="1">
        <v>87</v>
      </c>
      <c r="O90" s="18">
        <v>37</v>
      </c>
      <c r="P90" s="19">
        <v>2.2957230245399685</v>
      </c>
      <c r="Q90" s="20">
        <v>3.91</v>
      </c>
      <c r="R90" s="19">
        <v>0.81981747922579173</v>
      </c>
      <c r="S90" s="19">
        <v>0.18668287466545266</v>
      </c>
      <c r="T90" s="19">
        <v>0.93597874698167272</v>
      </c>
      <c r="U90" s="19">
        <v>1.8162508310473648</v>
      </c>
      <c r="V90" s="19">
        <v>0.76665108301876472</v>
      </c>
      <c r="W90" s="19">
        <v>0.78185168550139106</v>
      </c>
      <c r="X90" s="19">
        <v>2.2790099482301684</v>
      </c>
      <c r="Y90" s="19">
        <v>14.195769647792767</v>
      </c>
      <c r="Z90" s="19">
        <v>2.8150096347843472</v>
      </c>
      <c r="AA90" s="19">
        <v>1.1048908014667025</v>
      </c>
      <c r="AB90" s="19">
        <v>15.987859923516554</v>
      </c>
      <c r="AC90" s="19">
        <v>1.0151438382604068</v>
      </c>
      <c r="AD90" s="19">
        <v>3.5823301656380613</v>
      </c>
      <c r="AE90" s="19">
        <v>4.9799419714343269</v>
      </c>
      <c r="AF90" s="19">
        <v>5.3725337197133154</v>
      </c>
      <c r="AG90" s="19">
        <v>14.670952549586177</v>
      </c>
      <c r="AH90" s="19">
        <v>12.103427416822667</v>
      </c>
      <c r="AI90" s="19">
        <v>14.561865425712742</v>
      </c>
      <c r="AJ90" s="19">
        <v>9.0728521250186773</v>
      </c>
      <c r="AK90" s="19">
        <v>8.8010319631279934</v>
      </c>
      <c r="AL90" s="19">
        <v>5.1764469349838249</v>
      </c>
      <c r="AM90" s="19">
        <v>4.3729478714887096</v>
      </c>
      <c r="AN90" s="19">
        <v>1.4783647987263779</v>
      </c>
      <c r="AO90" s="19">
        <v>5.7181630227271301</v>
      </c>
      <c r="AP90" s="19">
        <v>6.6511030770317952</v>
      </c>
      <c r="AQ90" s="19">
        <v>0.49079831081689812</v>
      </c>
    </row>
    <row r="91" spans="1:43" s="1" customFormat="1">
      <c r="A91" s="28">
        <v>172</v>
      </c>
      <c r="B91" s="29" t="s">
        <v>221</v>
      </c>
      <c r="C91" s="30" t="s">
        <v>222</v>
      </c>
      <c r="D91" s="46"/>
      <c r="E91" s="29" t="s">
        <v>44</v>
      </c>
      <c r="F91" s="43"/>
      <c r="G91" s="51"/>
      <c r="H91" s="51"/>
      <c r="I91" s="52"/>
      <c r="J91" s="52"/>
      <c r="L91" s="53"/>
      <c r="M91" s="39"/>
      <c r="N91" s="1">
        <v>176</v>
      </c>
      <c r="O91" s="18">
        <v>38</v>
      </c>
      <c r="P91" s="40">
        <v>3.4436066514756147</v>
      </c>
      <c r="Q91" s="41">
        <v>9.8799999999999972</v>
      </c>
      <c r="R91" s="40">
        <v>0.35109255871949435</v>
      </c>
      <c r="S91" s="40">
        <v>0.25600696635318743</v>
      </c>
      <c r="T91" s="40">
        <v>0.30167631436221931</v>
      </c>
      <c r="U91" s="40">
        <v>0.84466509593940764</v>
      </c>
      <c r="V91" s="40">
        <v>4.2644337408493722E-2</v>
      </c>
      <c r="W91" s="40">
        <v>0.46279580815252824</v>
      </c>
      <c r="X91" s="40">
        <v>2.5795745704016113</v>
      </c>
      <c r="Y91" s="40">
        <v>12.07599691921026</v>
      </c>
      <c r="Z91" s="40">
        <v>2.664320485566368</v>
      </c>
      <c r="AA91" s="40">
        <v>0.15366965277880346</v>
      </c>
      <c r="AB91" s="40">
        <v>16.312120918843725</v>
      </c>
      <c r="AC91" s="40">
        <v>1.0231349704640498</v>
      </c>
      <c r="AD91" s="40">
        <v>2.5112519209605377</v>
      </c>
      <c r="AE91" s="40">
        <v>3.2961473213396735</v>
      </c>
      <c r="AF91" s="40">
        <v>6.5115754617449308</v>
      </c>
      <c r="AG91" s="40">
        <v>14.863372868495317</v>
      </c>
      <c r="AH91" s="40">
        <v>8.9961668856667814</v>
      </c>
      <c r="AI91" s="40">
        <v>13.819604994703679</v>
      </c>
      <c r="AJ91" s="40">
        <v>8.3059606010689588</v>
      </c>
      <c r="AK91" s="40">
        <v>6.7311072204879245</v>
      </c>
      <c r="AL91" s="40">
        <v>3.7387548263294388</v>
      </c>
      <c r="AM91" s="40">
        <v>5.0944241079827179</v>
      </c>
      <c r="AN91" s="40">
        <v>0.53597119807082294</v>
      </c>
      <c r="AO91" s="40">
        <v>4.7273034847873667</v>
      </c>
      <c r="AP91" s="40">
        <v>7.1185141128828349</v>
      </c>
      <c r="AQ91" s="40">
        <v>3.0293415161399169E-4</v>
      </c>
    </row>
    <row r="92" spans="1:43" s="1" customFormat="1">
      <c r="A92" s="36">
        <v>173</v>
      </c>
      <c r="B92" s="29" t="s">
        <v>223</v>
      </c>
      <c r="C92" s="30" t="s">
        <v>224</v>
      </c>
      <c r="D92" s="46"/>
      <c r="E92" s="29" t="s">
        <v>44</v>
      </c>
      <c r="F92" s="43"/>
      <c r="G92" s="51"/>
      <c r="H92" s="51"/>
      <c r="I92" s="52"/>
      <c r="J92" s="52"/>
      <c r="L92" s="53"/>
      <c r="M92" s="39"/>
      <c r="N92" s="1">
        <v>135</v>
      </c>
      <c r="O92" s="18">
        <v>39</v>
      </c>
      <c r="P92" s="40">
        <v>1.5008020530571577</v>
      </c>
      <c r="Q92" s="41">
        <v>1.83</v>
      </c>
      <c r="R92" s="40">
        <v>0.40619770491857915</v>
      </c>
      <c r="S92" s="40">
        <v>3.8436181656107918E-2</v>
      </c>
      <c r="T92" s="40">
        <v>0.35241630894985687</v>
      </c>
      <c r="U92" s="40">
        <v>0.93820966660614213</v>
      </c>
      <c r="V92" s="40">
        <v>0.41378228526659855</v>
      </c>
      <c r="W92" s="40">
        <v>0.60995529087677836</v>
      </c>
      <c r="X92" s="40">
        <v>1.7751813328027009</v>
      </c>
      <c r="Y92" s="40">
        <v>12.307785082570076</v>
      </c>
      <c r="Z92" s="40">
        <v>1.1743602523807704</v>
      </c>
      <c r="AA92" s="40">
        <v>2.5966173850467111E-4</v>
      </c>
      <c r="AB92" s="40">
        <v>14.231844207716581</v>
      </c>
      <c r="AC92" s="40">
        <v>0.69343626747686737</v>
      </c>
      <c r="AD92" s="40">
        <v>2.6338085126344248</v>
      </c>
      <c r="AE92" s="40">
        <v>4.0947621356193649</v>
      </c>
      <c r="AF92" s="40">
        <v>5.7470191540913502</v>
      </c>
      <c r="AG92" s="40">
        <v>15.126084012767908</v>
      </c>
      <c r="AH92" s="40">
        <v>8.7887476541049931</v>
      </c>
      <c r="AI92" s="40">
        <v>12.836664167110817</v>
      </c>
      <c r="AJ92" s="40">
        <v>7.5573914577062196</v>
      </c>
      <c r="AK92" s="40">
        <v>6.2121269291190702</v>
      </c>
      <c r="AL92" s="40">
        <v>3.943909501113966</v>
      </c>
      <c r="AM92" s="40">
        <v>3.6252965088899201</v>
      </c>
      <c r="AN92" s="40">
        <v>0.4939739955247342</v>
      </c>
      <c r="AO92" s="40">
        <v>5.1528200965296236</v>
      </c>
      <c r="AP92" s="40">
        <v>4.8171352981795899</v>
      </c>
      <c r="AQ92" s="40">
        <v>2.8558169285365174E-2</v>
      </c>
    </row>
    <row r="93" spans="1:43" s="1" customFormat="1">
      <c r="A93" s="28">
        <v>174</v>
      </c>
      <c r="B93" s="29" t="s">
        <v>225</v>
      </c>
      <c r="C93" s="30" t="s">
        <v>226</v>
      </c>
      <c r="D93" s="46"/>
      <c r="E93" s="29" t="s">
        <v>44</v>
      </c>
      <c r="F93" s="43"/>
      <c r="G93" s="51"/>
      <c r="H93" s="51"/>
      <c r="I93" s="52"/>
      <c r="J93" s="52"/>
      <c r="L93" s="53"/>
      <c r="M93" s="39"/>
      <c r="N93" s="1">
        <v>50</v>
      </c>
      <c r="O93" s="18">
        <v>41</v>
      </c>
      <c r="P93" s="40">
        <v>1.4594316186372973</v>
      </c>
      <c r="Q93" s="41">
        <v>1.75</v>
      </c>
      <c r="R93" s="40">
        <v>0.78885525464393536</v>
      </c>
      <c r="S93" s="40">
        <v>0.22766102852948022</v>
      </c>
      <c r="T93" s="40">
        <v>0.21916488763892081</v>
      </c>
      <c r="U93" s="40">
        <v>0.58090842691903932</v>
      </c>
      <c r="V93" s="40">
        <v>2.9982866215714315E-2</v>
      </c>
      <c r="W93" s="40">
        <v>7.1989520108961549E-2</v>
      </c>
      <c r="X93" s="40">
        <v>2.2345505606859142</v>
      </c>
      <c r="Y93" s="40">
        <v>13.182580123264437</v>
      </c>
      <c r="Z93" s="40">
        <v>3.9870233321416788</v>
      </c>
      <c r="AA93" s="40">
        <v>4.9043294502530439E-4</v>
      </c>
      <c r="AB93" s="40">
        <v>16.178182479220037</v>
      </c>
      <c r="AC93" s="40">
        <v>0.65970995895171858</v>
      </c>
      <c r="AD93" s="40">
        <v>3.0720078530416663</v>
      </c>
      <c r="AE93" s="40">
        <v>4.3228966538904796</v>
      </c>
      <c r="AF93" s="40">
        <v>5.1517991670256613</v>
      </c>
      <c r="AG93" s="40">
        <v>14.862662479908604</v>
      </c>
      <c r="AH93" s="40">
        <v>10.898687030771937</v>
      </c>
      <c r="AI93" s="40">
        <v>14.352607734821158</v>
      </c>
      <c r="AJ93" s="40">
        <v>8.4000672714896556</v>
      </c>
      <c r="AK93" s="40">
        <v>6.8977410935340178</v>
      </c>
      <c r="AL93" s="40">
        <v>4.5858089573521168</v>
      </c>
      <c r="AM93" s="40">
        <v>2.7289613171064362</v>
      </c>
      <c r="AN93" s="40">
        <v>0.91551397450861505</v>
      </c>
      <c r="AO93" s="40">
        <v>4.8222936655521105</v>
      </c>
      <c r="AP93" s="40">
        <v>5.5061684422139221</v>
      </c>
      <c r="AQ93" s="40">
        <v>4.2535579315275594E-2</v>
      </c>
    </row>
    <row r="94" spans="1:43">
      <c r="A94" s="4">
        <v>175</v>
      </c>
      <c r="B94" s="5" t="s">
        <v>227</v>
      </c>
      <c r="C94" s="13" t="s">
        <v>228</v>
      </c>
      <c r="D94" s="22" t="s">
        <v>228</v>
      </c>
      <c r="E94" s="5" t="s">
        <v>44</v>
      </c>
      <c r="F94" s="23">
        <v>1999</v>
      </c>
      <c r="G94" s="24">
        <v>42.288299889999998</v>
      </c>
      <c r="H94" s="24">
        <v>-83.102954010000005</v>
      </c>
      <c r="I94" s="25"/>
      <c r="J94" s="25"/>
      <c r="L94" s="26">
        <v>16.28</v>
      </c>
      <c r="M94" s="17">
        <f>(L94=Q94)*1</f>
        <v>1</v>
      </c>
      <c r="N94" s="1">
        <v>206</v>
      </c>
      <c r="O94" s="18">
        <v>42</v>
      </c>
      <c r="P94" s="19">
        <v>4.1110313123887439</v>
      </c>
      <c r="Q94" s="20">
        <v>16.279999999999994</v>
      </c>
      <c r="R94" s="19">
        <v>1.6987596054520719</v>
      </c>
      <c r="S94" s="19">
        <v>1.1264694760699352</v>
      </c>
      <c r="T94" s="19">
        <v>1.1493232967199372</v>
      </c>
      <c r="U94" s="19">
        <v>1.1387998211748365</v>
      </c>
      <c r="V94" s="19">
        <v>0.35784569366519808</v>
      </c>
      <c r="W94" s="19">
        <v>2.4549922421053747</v>
      </c>
      <c r="X94" s="19">
        <v>6.8579928664214798</v>
      </c>
      <c r="Y94" s="19">
        <v>12.179264047226004</v>
      </c>
      <c r="Z94" s="19">
        <v>1.8420237647476232</v>
      </c>
      <c r="AA94" s="19">
        <v>6.3464620606251112E-4</v>
      </c>
      <c r="AB94" s="19">
        <v>15.827664031492482</v>
      </c>
      <c r="AC94" s="19">
        <v>0.89053923354354902</v>
      </c>
      <c r="AD94" s="19">
        <v>2.2589521253811138</v>
      </c>
      <c r="AE94" s="19">
        <v>3.6952230525284278</v>
      </c>
      <c r="AF94" s="19">
        <v>4.8901631889479393</v>
      </c>
      <c r="AG94" s="19">
        <v>13.8840579758646</v>
      </c>
      <c r="AH94" s="19">
        <v>9.5150240994427087</v>
      </c>
      <c r="AI94" s="19">
        <v>13.670996071997186</v>
      </c>
      <c r="AJ94" s="19">
        <v>8.4721201765996028</v>
      </c>
      <c r="AK94" s="19">
        <v>7.5660133083992713</v>
      </c>
      <c r="AL94" s="19">
        <v>3.8978342580035781</v>
      </c>
      <c r="AM94" s="19">
        <v>4.4745958784465785</v>
      </c>
      <c r="AN94" s="19">
        <v>6.6348712846603841E-4</v>
      </c>
      <c r="AO94" s="19">
        <v>3.8996545647595817</v>
      </c>
      <c r="AP94" s="19">
        <v>5.9010426257318205</v>
      </c>
      <c r="AQ94" s="19">
        <v>0.45833267973238884</v>
      </c>
    </row>
    <row r="95" spans="1:43">
      <c r="A95" s="21">
        <v>176</v>
      </c>
      <c r="B95" s="5" t="s">
        <v>229</v>
      </c>
      <c r="C95" s="13" t="s">
        <v>230</v>
      </c>
      <c r="D95" s="22" t="s">
        <v>230</v>
      </c>
      <c r="E95" s="5" t="s">
        <v>44</v>
      </c>
      <c r="F95" s="23">
        <v>1999</v>
      </c>
      <c r="G95" s="24">
        <v>42.293954300000003</v>
      </c>
      <c r="H95" s="24">
        <v>-83.09516069</v>
      </c>
      <c r="I95" s="25"/>
      <c r="J95" s="25"/>
      <c r="L95" s="26">
        <v>5.31</v>
      </c>
      <c r="M95" s="17">
        <f>(L95=Q95)*1</f>
        <v>1</v>
      </c>
      <c r="N95" s="1">
        <v>73</v>
      </c>
      <c r="O95" s="18">
        <v>43</v>
      </c>
      <c r="P95" s="19">
        <v>2.6576400052078246</v>
      </c>
      <c r="Q95" s="20">
        <v>5.3100000000000014</v>
      </c>
      <c r="R95" s="19">
        <v>0.24076076412135267</v>
      </c>
      <c r="S95" s="19">
        <v>0.15189886246078926</v>
      </c>
      <c r="T95" s="19">
        <v>0.12449507793027054</v>
      </c>
      <c r="U95" s="19">
        <v>0.26461971238202125</v>
      </c>
      <c r="V95" s="19">
        <v>0.17068922716191917</v>
      </c>
      <c r="W95" s="19">
        <v>0.4053964227309711</v>
      </c>
      <c r="X95" s="19">
        <v>2.6243117507443556</v>
      </c>
      <c r="Y95" s="19">
        <v>13.906313259564861</v>
      </c>
      <c r="Z95" s="19">
        <v>2.1436044553348927</v>
      </c>
      <c r="AA95" s="19">
        <v>7.2116724365405146E-4</v>
      </c>
      <c r="AB95" s="19">
        <v>15.39817665069193</v>
      </c>
      <c r="AC95" s="19">
        <v>0.55503523454339476</v>
      </c>
      <c r="AD95" s="19">
        <v>3.4245178250417019</v>
      </c>
      <c r="AE95" s="19">
        <v>4.756312690217765</v>
      </c>
      <c r="AF95" s="19">
        <v>5.1506849179631002</v>
      </c>
      <c r="AG95" s="19">
        <v>14.455375123338305</v>
      </c>
      <c r="AH95" s="19">
        <v>11.830327000416681</v>
      </c>
      <c r="AI95" s="19">
        <v>13.92243097432568</v>
      </c>
      <c r="AJ95" s="19">
        <v>8.4927294217580904</v>
      </c>
      <c r="AK95" s="19">
        <v>7.6775761376854588</v>
      </c>
      <c r="AL95" s="19">
        <v>4.8139900970237388</v>
      </c>
      <c r="AM95" s="19">
        <v>2.5321149886203269</v>
      </c>
      <c r="AN95" s="19">
        <v>0.1825923783494055</v>
      </c>
      <c r="AO95" s="19">
        <v>5.4472648816597085</v>
      </c>
      <c r="AP95" s="19">
        <v>5.8229378489851298</v>
      </c>
      <c r="AQ95" s="19">
        <v>4.4137506667183357E-2</v>
      </c>
    </row>
    <row r="96" spans="1:43">
      <c r="A96" s="4">
        <v>177</v>
      </c>
      <c r="B96" s="5" t="s">
        <v>231</v>
      </c>
      <c r="C96" s="13" t="s">
        <v>232</v>
      </c>
      <c r="D96" s="22" t="s">
        <v>232</v>
      </c>
      <c r="E96" s="5" t="s">
        <v>44</v>
      </c>
      <c r="F96" s="23">
        <v>1999</v>
      </c>
      <c r="G96" s="24">
        <v>42.250283029999999</v>
      </c>
      <c r="H96" s="24">
        <v>-83.111484399999995</v>
      </c>
      <c r="I96" s="25"/>
      <c r="J96" s="25"/>
      <c r="L96" s="26">
        <v>1.67</v>
      </c>
      <c r="M96" s="17">
        <f>(L96=Q96)*1</f>
        <v>1</v>
      </c>
      <c r="N96" s="1">
        <v>131</v>
      </c>
      <c r="O96" s="18">
        <v>44</v>
      </c>
      <c r="P96" s="19">
        <v>1.4168397419128291</v>
      </c>
      <c r="Q96" s="20">
        <v>1.67</v>
      </c>
      <c r="R96" s="19">
        <v>0.59889095581596385</v>
      </c>
      <c r="S96" s="19">
        <v>0.19561968815824449</v>
      </c>
      <c r="T96" s="19">
        <v>0.47623206743262125</v>
      </c>
      <c r="U96" s="19">
        <v>1.1290235766918448</v>
      </c>
      <c r="V96" s="19">
        <v>0.31022980146496471</v>
      </c>
      <c r="W96" s="19">
        <v>0.65136905862117278</v>
      </c>
      <c r="X96" s="19">
        <v>4.4384891602531393</v>
      </c>
      <c r="Y96" s="19">
        <v>12.561396836494641</v>
      </c>
      <c r="Z96" s="19">
        <v>4.586715923424503</v>
      </c>
      <c r="AA96" s="19">
        <v>5.6820004610507873</v>
      </c>
      <c r="AB96" s="19">
        <v>14.185829904410403</v>
      </c>
      <c r="AC96" s="19">
        <v>1.279731034943735</v>
      </c>
      <c r="AD96" s="19">
        <v>2.4612053352353325</v>
      </c>
      <c r="AE96" s="19">
        <v>3.951690490418398</v>
      </c>
      <c r="AF96" s="19">
        <v>3.7838252657018723</v>
      </c>
      <c r="AG96" s="19">
        <v>13.459629174830317</v>
      </c>
      <c r="AH96" s="19">
        <v>10.15147106821817</v>
      </c>
      <c r="AI96" s="19">
        <v>13.013291163307436</v>
      </c>
      <c r="AJ96" s="19">
        <v>7.1941343219795666</v>
      </c>
      <c r="AK96" s="19">
        <v>7.2424844607056338</v>
      </c>
      <c r="AL96" s="19">
        <v>3.5316042098522114</v>
      </c>
      <c r="AM96" s="19">
        <v>3.1863264788255647</v>
      </c>
      <c r="AN96" s="19">
        <v>4.5413545496277994</v>
      </c>
      <c r="AO96" s="19">
        <v>4.3491263112716156</v>
      </c>
      <c r="AP96" s="19">
        <v>5.3506585728256759</v>
      </c>
      <c r="AQ96" s="19">
        <v>0.62574645999623135</v>
      </c>
    </row>
    <row r="97" spans="1:43">
      <c r="A97" s="21">
        <v>178</v>
      </c>
      <c r="B97" s="5" t="s">
        <v>233</v>
      </c>
      <c r="C97" s="13" t="s">
        <v>234</v>
      </c>
      <c r="D97" s="22" t="s">
        <v>234</v>
      </c>
      <c r="E97" s="5" t="s">
        <v>44</v>
      </c>
      <c r="F97" s="23">
        <v>1999</v>
      </c>
      <c r="G97" s="24">
        <v>42.252547110000002</v>
      </c>
      <c r="H97" s="24">
        <v>-83.108844619999999</v>
      </c>
      <c r="I97" s="25"/>
      <c r="J97" s="25"/>
      <c r="L97" s="26">
        <v>5.72</v>
      </c>
      <c r="M97" s="17">
        <f>(L97=Q97)*1</f>
        <v>1</v>
      </c>
      <c r="N97" s="1">
        <v>183</v>
      </c>
      <c r="O97" s="18">
        <v>45</v>
      </c>
      <c r="P97" s="19">
        <v>2.7484612330040354</v>
      </c>
      <c r="Q97" s="20">
        <v>5.7199999999999989</v>
      </c>
      <c r="R97" s="19">
        <v>1.8107548240462543</v>
      </c>
      <c r="S97" s="19">
        <v>0.66603368110041239</v>
      </c>
      <c r="T97" s="19">
        <v>1.5592650996619051</v>
      </c>
      <c r="U97" s="19">
        <v>2.849317845440539</v>
      </c>
      <c r="V97" s="19">
        <v>1.1457094144334632</v>
      </c>
      <c r="W97" s="19">
        <v>1.7371803412090614</v>
      </c>
      <c r="X97" s="19">
        <v>6.4100470636094498</v>
      </c>
      <c r="Y97" s="19">
        <v>14.408904820857567</v>
      </c>
      <c r="Z97" s="19">
        <v>2.085128014459956</v>
      </c>
      <c r="AA97" s="19">
        <v>8.0768309273324471E-4</v>
      </c>
      <c r="AB97" s="19">
        <v>15.603935271830379</v>
      </c>
      <c r="AC97" s="19">
        <v>1.1112588882656509</v>
      </c>
      <c r="AD97" s="19">
        <v>3.5188164947332785</v>
      </c>
      <c r="AE97" s="19">
        <v>5.3232593614606367</v>
      </c>
      <c r="AF97" s="19">
        <v>5.5012067735952837</v>
      </c>
      <c r="AG97" s="19">
        <v>14.593652125221563</v>
      </c>
      <c r="AH97" s="19">
        <v>12.321745407581915</v>
      </c>
      <c r="AI97" s="19">
        <v>14.313939261198906</v>
      </c>
      <c r="AJ97" s="19">
        <v>8.9663765633172421</v>
      </c>
      <c r="AK97" s="19">
        <v>7.8717735537065492</v>
      </c>
      <c r="AL97" s="19">
        <v>5.202424981507499</v>
      </c>
      <c r="AM97" s="19">
        <v>4.6005933682350095</v>
      </c>
      <c r="AN97" s="19">
        <v>5.192767505119931E-4</v>
      </c>
      <c r="AO97" s="19">
        <v>5.7889091140831823</v>
      </c>
      <c r="AP97" s="19">
        <v>7.0492404701928724</v>
      </c>
      <c r="AQ97" s="19">
        <v>0.48314727347203318</v>
      </c>
    </row>
    <row r="98" spans="1:43">
      <c r="A98" s="4">
        <v>179</v>
      </c>
      <c r="B98" s="5" t="s">
        <v>235</v>
      </c>
      <c r="C98" s="13" t="s">
        <v>236</v>
      </c>
      <c r="D98" s="46"/>
      <c r="E98" s="5" t="s">
        <v>44</v>
      </c>
      <c r="F98" s="47"/>
      <c r="G98" s="48"/>
      <c r="H98" s="48"/>
      <c r="I98" s="49"/>
      <c r="J98" s="49"/>
      <c r="L98" s="50"/>
      <c r="M98" s="17"/>
      <c r="N98" s="1">
        <v>15</v>
      </c>
      <c r="O98" s="18">
        <v>46</v>
      </c>
      <c r="P98" s="19">
        <v>1.3448284969974411</v>
      </c>
      <c r="Q98" s="20">
        <v>1.5399999999999996</v>
      </c>
      <c r="R98" s="19">
        <v>0.48388700022928605</v>
      </c>
      <c r="S98" s="19">
        <v>0.52291058884467423</v>
      </c>
      <c r="T98" s="19">
        <v>0.21478248396627686</v>
      </c>
      <c r="U98" s="19">
        <v>1.0734217272648596</v>
      </c>
      <c r="V98" s="19">
        <v>2.4319679195412891E-2</v>
      </c>
      <c r="W98" s="19">
        <v>0.26550946047731178</v>
      </c>
      <c r="X98" s="19">
        <v>5.8647302083097534E-2</v>
      </c>
      <c r="Y98" s="19">
        <v>11.852306919141386</v>
      </c>
      <c r="Z98" s="19">
        <v>4.6771125604827946</v>
      </c>
      <c r="AA98" s="19">
        <v>5.5858487416961644</v>
      </c>
      <c r="AB98" s="19">
        <v>16.178381942192864</v>
      </c>
      <c r="AC98" s="19">
        <v>1.2614063975044822</v>
      </c>
      <c r="AD98" s="19">
        <v>2.4355183037032528</v>
      </c>
      <c r="AE98" s="19">
        <v>3.3461355475949333</v>
      </c>
      <c r="AF98" s="19">
        <v>3.8180683018923038</v>
      </c>
      <c r="AG98" s="19">
        <v>13.483202555520027</v>
      </c>
      <c r="AH98" s="19">
        <v>8.8140338762464747</v>
      </c>
      <c r="AI98" s="19">
        <v>14.522313317153294</v>
      </c>
      <c r="AJ98" s="19">
        <v>8.90875332323556</v>
      </c>
      <c r="AK98" s="19">
        <v>7.543125072538035</v>
      </c>
      <c r="AL98" s="19">
        <v>3.9017395474647043</v>
      </c>
      <c r="AM98" s="19">
        <v>2.7564281032909914</v>
      </c>
      <c r="AN98" s="19">
        <v>4.4456345394427466</v>
      </c>
      <c r="AO98" s="19">
        <v>4.2543406233550902</v>
      </c>
      <c r="AP98" s="19">
        <v>4.7523357241039088</v>
      </c>
      <c r="AQ98" s="19">
        <v>1.5868772683289012E-4</v>
      </c>
    </row>
    <row r="99" spans="1:43">
      <c r="A99" s="21">
        <v>18</v>
      </c>
      <c r="B99" s="5" t="s">
        <v>237</v>
      </c>
      <c r="C99" s="13" t="s">
        <v>238</v>
      </c>
      <c r="D99" s="22" t="s">
        <v>238</v>
      </c>
      <c r="E99" s="5" t="s">
        <v>44</v>
      </c>
      <c r="F99" s="23">
        <v>1999</v>
      </c>
      <c r="G99" s="24">
        <v>42.100419080000002</v>
      </c>
      <c r="H99" s="24">
        <v>-83.146288679999998</v>
      </c>
      <c r="I99" s="25"/>
      <c r="J99" s="25"/>
      <c r="L99" s="26">
        <v>3.1966666666666668</v>
      </c>
      <c r="M99" s="17">
        <f>(L99=Q99)*1</f>
        <v>1</v>
      </c>
      <c r="N99" s="1">
        <v>199</v>
      </c>
      <c r="O99" s="18">
        <v>115</v>
      </c>
      <c r="P99" s="19">
        <v>2.0692438772231356</v>
      </c>
      <c r="Q99" s="20">
        <v>3.1966666666666663</v>
      </c>
      <c r="R99" s="19">
        <v>1.0631753562944564</v>
      </c>
      <c r="S99" s="19">
        <v>0.33587818366409183</v>
      </c>
      <c r="T99" s="19">
        <v>0.90887909183420246</v>
      </c>
      <c r="U99" s="19">
        <v>1.7750562463824415</v>
      </c>
      <c r="V99" s="19">
        <v>0.78875197834568378</v>
      </c>
      <c r="W99" s="19">
        <v>3.1701636847045132</v>
      </c>
      <c r="X99" s="19">
        <v>6.69621311539583</v>
      </c>
      <c r="Y99" s="19">
        <v>12.927275893156111</v>
      </c>
      <c r="Z99" s="19">
        <v>1.6769091726758032</v>
      </c>
      <c r="AA99" s="19">
        <v>7.6442581671879795E-4</v>
      </c>
      <c r="AB99" s="19">
        <v>15.108342317152447</v>
      </c>
      <c r="AC99" s="19">
        <v>0.92619750630564646</v>
      </c>
      <c r="AD99" s="19">
        <v>3.0127186059919735</v>
      </c>
      <c r="AE99" s="19">
        <v>4.6074364420505551</v>
      </c>
      <c r="AF99" s="19">
        <v>4.9342840339275851</v>
      </c>
      <c r="AG99" s="19">
        <v>13.778451222337736</v>
      </c>
      <c r="AH99" s="19">
        <v>10.795538474661726</v>
      </c>
      <c r="AI99" s="19">
        <v>13.821504325488062</v>
      </c>
      <c r="AJ99" s="19">
        <v>7.7381514753336846</v>
      </c>
      <c r="AK99" s="19">
        <v>7.5510009020386919</v>
      </c>
      <c r="AL99" s="19">
        <v>4.6437347246871079</v>
      </c>
      <c r="AM99" s="19">
        <v>3.9469883519723905</v>
      </c>
      <c r="AN99" s="19">
        <v>0.4921764095164099</v>
      </c>
      <c r="AO99" s="19">
        <v>4.811071055080002</v>
      </c>
      <c r="AP99" s="19">
        <v>6.2958802359180837</v>
      </c>
      <c r="AQ99" s="19">
        <v>0.2152503544193558</v>
      </c>
    </row>
    <row r="100" spans="1:43">
      <c r="A100" s="21">
        <v>180</v>
      </c>
      <c r="B100" s="5" t="s">
        <v>239</v>
      </c>
      <c r="C100" s="13" t="s">
        <v>240</v>
      </c>
      <c r="D100" s="22" t="s">
        <v>240</v>
      </c>
      <c r="E100" s="5" t="s">
        <v>44</v>
      </c>
      <c r="F100" s="23">
        <v>1999</v>
      </c>
      <c r="G100" s="24">
        <v>42.265479120000002</v>
      </c>
      <c r="H100" s="24">
        <v>-83.105917270000006</v>
      </c>
      <c r="I100" s="25"/>
      <c r="J100" s="25"/>
      <c r="L100" s="26">
        <v>1.23</v>
      </c>
      <c r="M100" s="17">
        <f>(L100=Q100)*1</f>
        <v>1</v>
      </c>
      <c r="N100" s="1">
        <v>39</v>
      </c>
      <c r="O100" s="18">
        <v>47</v>
      </c>
      <c r="P100" s="19">
        <v>1.1570437101455799</v>
      </c>
      <c r="Q100" s="20">
        <v>1.2299999999999995</v>
      </c>
      <c r="R100" s="19">
        <v>0.54200507070045989</v>
      </c>
      <c r="S100" s="19">
        <v>0.4689917243001166</v>
      </c>
      <c r="T100" s="19">
        <v>0.76599467540698585</v>
      </c>
      <c r="U100" s="19">
        <v>1.7756726674155874</v>
      </c>
      <c r="V100" s="19">
        <v>0.57526446668426645</v>
      </c>
      <c r="W100" s="19">
        <v>0.58148943063778769</v>
      </c>
      <c r="X100" s="19">
        <v>3.5119271869804041</v>
      </c>
      <c r="Y100" s="19">
        <v>12.895308852148343</v>
      </c>
      <c r="Z100" s="19">
        <v>4.1795178847618768</v>
      </c>
      <c r="AA100" s="19">
        <v>4.7551407769337768</v>
      </c>
      <c r="AB100" s="19">
        <v>15.923038032383197</v>
      </c>
      <c r="AC100" s="19">
        <v>1.0101758057163117</v>
      </c>
      <c r="AD100" s="19">
        <v>2.8553618964133656</v>
      </c>
      <c r="AE100" s="19">
        <v>3.8292295516076766</v>
      </c>
      <c r="AF100" s="19">
        <v>4.2326695323348842</v>
      </c>
      <c r="AG100" s="19">
        <v>13.84465856570327</v>
      </c>
      <c r="AH100" s="19">
        <v>10.859567747419558</v>
      </c>
      <c r="AI100" s="19">
        <v>13.713849435723457</v>
      </c>
      <c r="AJ100" s="19">
        <v>8.3520023047508314</v>
      </c>
      <c r="AK100" s="19">
        <v>7.7145799709677139</v>
      </c>
      <c r="AL100" s="19">
        <v>4.1967804057113165</v>
      </c>
      <c r="AM100" s="19">
        <v>2.6639670036562553</v>
      </c>
      <c r="AN100" s="19">
        <v>3.7331983968693194</v>
      </c>
      <c r="AO100" s="19">
        <v>4.6298220408372357</v>
      </c>
      <c r="AP100" s="19">
        <v>5.3890365207304463</v>
      </c>
      <c r="AQ100" s="19">
        <v>2.2642713195430163E-2</v>
      </c>
    </row>
    <row r="101" spans="1:43">
      <c r="A101" s="4">
        <v>181</v>
      </c>
      <c r="B101" s="5" t="s">
        <v>241</v>
      </c>
      <c r="C101" s="13" t="s">
        <v>242</v>
      </c>
      <c r="D101" s="22" t="s">
        <v>242</v>
      </c>
      <c r="E101" s="5" t="s">
        <v>44</v>
      </c>
      <c r="F101" s="23">
        <v>1999</v>
      </c>
      <c r="G101" s="24">
        <v>42.263129640000002</v>
      </c>
      <c r="H101" s="24">
        <v>-83.105863299999996</v>
      </c>
      <c r="I101" s="25"/>
      <c r="J101" s="25"/>
      <c r="L101" s="26">
        <v>0.65</v>
      </c>
      <c r="M101" s="17">
        <f>(L101=Q101)*1</f>
        <v>1</v>
      </c>
      <c r="N101" s="1">
        <v>102</v>
      </c>
      <c r="O101" s="18">
        <v>48</v>
      </c>
      <c r="P101" s="19">
        <v>0.72246602447109098</v>
      </c>
      <c r="Q101" s="20">
        <v>0.64999999999999991</v>
      </c>
      <c r="R101" s="19">
        <v>0.24786491784133666</v>
      </c>
      <c r="S101" s="19">
        <v>6.458352287242225E-2</v>
      </c>
      <c r="T101" s="19">
        <v>0.40368733206004087</v>
      </c>
      <c r="U101" s="19">
        <v>0.96046541911991978</v>
      </c>
      <c r="V101" s="19">
        <v>0.32320641322879912</v>
      </c>
      <c r="W101" s="19">
        <v>0.47234138720992613</v>
      </c>
      <c r="X101" s="19">
        <v>4.2017571627610755</v>
      </c>
      <c r="Y101" s="19">
        <v>11.443156797759158</v>
      </c>
      <c r="Z101" s="19">
        <v>4.8887086676992535</v>
      </c>
      <c r="AA101" s="19">
        <v>5.9776983866807498</v>
      </c>
      <c r="AB101" s="19">
        <v>14.647862903043002</v>
      </c>
      <c r="AC101" s="19">
        <v>1.3741612077868677</v>
      </c>
      <c r="AD101" s="19">
        <v>2.1289875938913783</v>
      </c>
      <c r="AE101" s="19">
        <v>3.8187141642123863</v>
      </c>
      <c r="AF101" s="19">
        <v>3.7936325549109577</v>
      </c>
      <c r="AG101" s="19">
        <v>13.706257417597744</v>
      </c>
      <c r="AH101" s="19">
        <v>8.7222376640853714</v>
      </c>
      <c r="AI101" s="19">
        <v>13.571893779911814</v>
      </c>
      <c r="AJ101" s="19">
        <v>7.6748827156967518</v>
      </c>
      <c r="AK101" s="19">
        <v>7.1534065243166571</v>
      </c>
      <c r="AL101" s="19">
        <v>3.7865531974978865</v>
      </c>
      <c r="AM101" s="19">
        <v>3.1849814931127578</v>
      </c>
      <c r="AN101" s="19">
        <v>4.855432356652849</v>
      </c>
      <c r="AO101" s="19">
        <v>4.1343633719423964</v>
      </c>
      <c r="AP101" s="19">
        <v>4.794221250448417</v>
      </c>
      <c r="AQ101" s="19">
        <v>2.6165594280660513E-2</v>
      </c>
    </row>
    <row r="102" spans="1:43">
      <c r="A102" s="21">
        <v>182</v>
      </c>
      <c r="B102" s="5" t="s">
        <v>243</v>
      </c>
      <c r="C102" s="13" t="s">
        <v>244</v>
      </c>
      <c r="D102" s="22" t="s">
        <v>244</v>
      </c>
      <c r="E102" s="5" t="s">
        <v>44</v>
      </c>
      <c r="F102" s="23">
        <v>1999</v>
      </c>
      <c r="G102" s="24">
        <v>42.273412759999999</v>
      </c>
      <c r="H102" s="24">
        <v>-83.109358499999999</v>
      </c>
      <c r="I102" s="25"/>
      <c r="J102" s="25"/>
      <c r="L102" s="26">
        <v>6.02</v>
      </c>
      <c r="M102" s="17">
        <f>(L102=Q102)*1</f>
        <v>1</v>
      </c>
      <c r="N102" s="1">
        <v>226</v>
      </c>
      <c r="O102" s="18">
        <v>49</v>
      </c>
      <c r="P102" s="19">
        <v>2.811471030529836</v>
      </c>
      <c r="Q102" s="20">
        <v>6.02</v>
      </c>
      <c r="R102" s="19">
        <v>2.2900402110078828E-2</v>
      </c>
      <c r="S102" s="19">
        <v>0.51983171582976362</v>
      </c>
      <c r="T102" s="19">
        <v>0.57470136371132774</v>
      </c>
      <c r="U102" s="19">
        <v>0.64257498802976587</v>
      </c>
      <c r="V102" s="19">
        <v>0.21016111876151644</v>
      </c>
      <c r="W102" s="19">
        <v>3.5623909730721222E-2</v>
      </c>
      <c r="X102" s="19">
        <v>10.430959949357115</v>
      </c>
      <c r="Y102" s="19">
        <v>12.307252684324929</v>
      </c>
      <c r="Z102" s="19">
        <v>3.3992698838329751</v>
      </c>
      <c r="AA102" s="19">
        <v>1.6337540016148024</v>
      </c>
      <c r="AB102" s="19">
        <v>16.009292587623481</v>
      </c>
      <c r="AC102" s="19">
        <v>2.0158348137124582</v>
      </c>
      <c r="AD102" s="19">
        <v>2.9903403177106989</v>
      </c>
      <c r="AE102" s="19">
        <v>5.5057616947452042</v>
      </c>
      <c r="AF102" s="19">
        <v>6.1010643428915943</v>
      </c>
      <c r="AG102" s="19">
        <v>15.91267762771605</v>
      </c>
      <c r="AH102" s="19">
        <v>9.1940332451597815</v>
      </c>
      <c r="AI102" s="19">
        <v>13.42195311793971</v>
      </c>
      <c r="AJ102" s="19">
        <v>10.072500957333041</v>
      </c>
      <c r="AK102" s="19">
        <v>7.5707703441878769</v>
      </c>
      <c r="AL102" s="19">
        <v>4.872662439235345</v>
      </c>
      <c r="AM102" s="19">
        <v>5.7729908262960326</v>
      </c>
      <c r="AN102" s="19">
        <v>2.0749832899741905</v>
      </c>
      <c r="AO102" s="19">
        <v>4.9876465609830731</v>
      </c>
      <c r="AP102" s="19">
        <v>8.4513165574682905</v>
      </c>
      <c r="AQ102" s="19">
        <v>0.48838095137276205</v>
      </c>
    </row>
    <row r="103" spans="1:43">
      <c r="A103" s="4">
        <v>183</v>
      </c>
      <c r="B103" s="5" t="s">
        <v>245</v>
      </c>
      <c r="C103" s="13"/>
      <c r="D103" s="22" t="s">
        <v>246</v>
      </c>
      <c r="E103" s="5" t="s">
        <v>44</v>
      </c>
      <c r="F103" s="23">
        <v>1999</v>
      </c>
      <c r="G103" s="24">
        <v>42.259606560000002</v>
      </c>
      <c r="H103" s="24">
        <v>-83.123021780000002</v>
      </c>
      <c r="I103" s="25"/>
      <c r="J103" s="25"/>
      <c r="L103" s="26">
        <v>5.48</v>
      </c>
    </row>
    <row r="104" spans="1:43">
      <c r="A104" s="21">
        <v>184</v>
      </c>
      <c r="B104" s="5" t="s">
        <v>247</v>
      </c>
      <c r="C104" s="13" t="s">
        <v>248</v>
      </c>
      <c r="D104" s="22" t="s">
        <v>248</v>
      </c>
      <c r="E104" s="5" t="s">
        <v>44</v>
      </c>
      <c r="F104" s="23">
        <v>1999</v>
      </c>
      <c r="G104" s="24">
        <v>42.255127170000002</v>
      </c>
      <c r="H104" s="24">
        <v>-83.1207864</v>
      </c>
      <c r="I104" s="25"/>
      <c r="J104" s="25"/>
      <c r="L104" s="26">
        <v>10.06</v>
      </c>
      <c r="M104" s="17">
        <f>(L104=Q104)*1</f>
        <v>1</v>
      </c>
      <c r="N104" s="1">
        <v>241</v>
      </c>
      <c r="O104" s="18">
        <v>52</v>
      </c>
      <c r="P104" s="19">
        <v>3.4672794804599825</v>
      </c>
      <c r="Q104" s="20">
        <v>10.059999999999999</v>
      </c>
      <c r="R104" s="19">
        <v>1.1250756045486456</v>
      </c>
      <c r="S104" s="19">
        <v>0.90097289463748342</v>
      </c>
      <c r="T104" s="19">
        <v>1.3846831776953485</v>
      </c>
      <c r="U104" s="19">
        <v>2.1365126593440453</v>
      </c>
      <c r="V104" s="19">
        <v>0.719701281472516</v>
      </c>
      <c r="W104" s="19">
        <v>4.5788043443957251</v>
      </c>
      <c r="X104" s="19">
        <v>8.7878325242974125</v>
      </c>
      <c r="Y104" s="19">
        <v>13.988999490468078</v>
      </c>
      <c r="Z104" s="19">
        <v>2.864779406631818</v>
      </c>
      <c r="AA104" s="19">
        <v>2.8851015812355289E-4</v>
      </c>
      <c r="AB104" s="19">
        <v>15.966144619919714</v>
      </c>
      <c r="AC104" s="19">
        <v>2.015507627168954</v>
      </c>
      <c r="AD104" s="19">
        <v>3.6369487035860364</v>
      </c>
      <c r="AE104" s="19">
        <v>6.1549831186266539</v>
      </c>
      <c r="AF104" s="19">
        <v>6.6608324888540524</v>
      </c>
      <c r="AG104" s="19">
        <v>15.400502658191488</v>
      </c>
      <c r="AH104" s="19">
        <v>11.840218677564769</v>
      </c>
      <c r="AI104" s="19">
        <v>14.312133230251769</v>
      </c>
      <c r="AJ104" s="19">
        <v>9.5370667948185002</v>
      </c>
      <c r="AK104" s="19">
        <v>8.9435271093700184</v>
      </c>
      <c r="AL104" s="19">
        <v>5.7270676801609453</v>
      </c>
      <c r="AM104" s="19">
        <v>6.9615753228164303</v>
      </c>
      <c r="AN104" s="19">
        <v>2.0520342919210472</v>
      </c>
      <c r="AO104" s="19">
        <v>5.4778387906065182</v>
      </c>
      <c r="AP104" s="19">
        <v>8.5479418690599065</v>
      </c>
      <c r="AQ104" s="19">
        <v>0.56344019047535254</v>
      </c>
    </row>
    <row r="105" spans="1:43">
      <c r="A105" s="4">
        <v>185</v>
      </c>
      <c r="B105" s="5" t="s">
        <v>249</v>
      </c>
      <c r="C105" s="13" t="s">
        <v>250</v>
      </c>
      <c r="D105" s="22"/>
      <c r="E105" s="5" t="s">
        <v>44</v>
      </c>
      <c r="F105" s="23"/>
      <c r="G105" s="24"/>
      <c r="H105" s="24"/>
      <c r="I105" s="25"/>
      <c r="J105" s="25"/>
      <c r="L105" s="26"/>
      <c r="M105" s="17"/>
      <c r="N105" s="1">
        <v>26</v>
      </c>
      <c r="O105" s="18">
        <v>53</v>
      </c>
      <c r="P105" s="19">
        <v>1.5260688116675876</v>
      </c>
      <c r="Q105" s="20">
        <v>1.88</v>
      </c>
      <c r="R105" s="19">
        <v>0.52418664400186654</v>
      </c>
      <c r="S105" s="19">
        <v>0.203463307811203</v>
      </c>
      <c r="T105" s="19">
        <v>0.24553427466761896</v>
      </c>
      <c r="U105" s="19">
        <v>0.73882004939843371</v>
      </c>
      <c r="V105" s="19">
        <v>8.6303051434400563E-3</v>
      </c>
      <c r="W105" s="19">
        <v>0.29513966074495623</v>
      </c>
      <c r="X105" s="19">
        <v>1.3382353134413953</v>
      </c>
      <c r="Y105" s="19">
        <v>12.494525974578863</v>
      </c>
      <c r="Z105" s="19">
        <v>3.0527422134758786</v>
      </c>
      <c r="AA105" s="19">
        <v>0.18747573021174638</v>
      </c>
      <c r="AB105" s="19">
        <v>16.235563503920936</v>
      </c>
      <c r="AC105" s="19">
        <v>0.6673156268552467</v>
      </c>
      <c r="AD105" s="19">
        <v>2.926525684019174</v>
      </c>
      <c r="AE105" s="19">
        <v>3.5211669087207396</v>
      </c>
      <c r="AF105" s="19">
        <v>4.4843378654907751</v>
      </c>
      <c r="AG105" s="19">
        <v>14.03803273804208</v>
      </c>
      <c r="AH105" s="19">
        <v>9.5932062160524723</v>
      </c>
      <c r="AI105" s="19">
        <v>14.561961872247277</v>
      </c>
      <c r="AJ105" s="19">
        <v>9.1181482136913985</v>
      </c>
      <c r="AK105" s="19">
        <v>8.0217266488246253</v>
      </c>
      <c r="AL105" s="19">
        <v>4.2492144446893114</v>
      </c>
      <c r="AM105" s="19">
        <v>3.084370023676358</v>
      </c>
      <c r="AN105" s="19">
        <v>1.0930095644973512</v>
      </c>
      <c r="AO105" s="19">
        <v>4.6752301613802301</v>
      </c>
      <c r="AP105" s="19">
        <v>5.1987335101467673</v>
      </c>
      <c r="AQ105" s="19">
        <v>6.5866371310375647E-7</v>
      </c>
    </row>
    <row r="106" spans="1:43">
      <c r="A106" s="21">
        <v>186</v>
      </c>
      <c r="B106" s="5" t="s">
        <v>251</v>
      </c>
      <c r="C106" s="13" t="s">
        <v>252</v>
      </c>
      <c r="D106" s="22" t="s">
        <v>252</v>
      </c>
      <c r="E106" s="5" t="s">
        <v>44</v>
      </c>
      <c r="F106" s="23">
        <v>1999</v>
      </c>
      <c r="G106" s="24">
        <v>42.257554640000002</v>
      </c>
      <c r="H106" s="24">
        <v>-83.119061450000004</v>
      </c>
      <c r="I106" s="25"/>
      <c r="J106" s="25"/>
      <c r="L106" s="37">
        <v>2</v>
      </c>
      <c r="M106" s="17">
        <f t="shared" ref="M106:M112" si="2">(L106=Q106)*1</f>
        <v>1</v>
      </c>
      <c r="N106" s="1">
        <v>146</v>
      </c>
      <c r="O106" s="18">
        <v>54</v>
      </c>
      <c r="P106" s="19">
        <v>1.5849625007211561</v>
      </c>
      <c r="Q106" s="20">
        <v>1.9999999999999996</v>
      </c>
      <c r="R106" s="19">
        <v>1.4419741739063218E-3</v>
      </c>
      <c r="S106" s="19">
        <v>4.3216059500934675E-3</v>
      </c>
      <c r="T106" s="19">
        <v>5.7592692886849527E-3</v>
      </c>
      <c r="U106" s="19">
        <v>1.0063683344697479E-2</v>
      </c>
      <c r="V106" s="19">
        <v>2.0057652341253476E-2</v>
      </c>
      <c r="W106" s="19">
        <v>1.1495638837829437E-2</v>
      </c>
      <c r="X106" s="19">
        <v>9.4313993009172439</v>
      </c>
      <c r="Y106" s="19">
        <v>14.235035611673826</v>
      </c>
      <c r="Z106" s="19">
        <v>3.3049215779733228</v>
      </c>
      <c r="AA106" s="19">
        <v>0.53185729614666022</v>
      </c>
      <c r="AB106" s="19">
        <v>16.086601251589517</v>
      </c>
      <c r="AC106" s="19">
        <v>0.94239398674381492</v>
      </c>
      <c r="AD106" s="19">
        <v>3.7789125277169084</v>
      </c>
      <c r="AE106" s="19">
        <v>5.0042031047605171</v>
      </c>
      <c r="AF106" s="19">
        <v>5.3062179922692989</v>
      </c>
      <c r="AG106" s="19">
        <v>14.795643088403484</v>
      </c>
      <c r="AH106" s="19">
        <v>12.36735090941113</v>
      </c>
      <c r="AI106" s="19">
        <v>14.198575145925505</v>
      </c>
      <c r="AJ106" s="19">
        <v>8.8713803489498826</v>
      </c>
      <c r="AK106" s="19">
        <v>8.45689721725563</v>
      </c>
      <c r="AL106" s="19">
        <v>5.3125787511686999</v>
      </c>
      <c r="AM106" s="19">
        <v>3.8181175421797722</v>
      </c>
      <c r="AN106" s="19">
        <v>1.7072487850679299</v>
      </c>
      <c r="AO106" s="19">
        <v>5.6151315506687363</v>
      </c>
      <c r="AP106" s="19">
        <v>6.228122579552374</v>
      </c>
      <c r="AQ106" s="19">
        <v>3.0839489334587956E-2</v>
      </c>
    </row>
    <row r="107" spans="1:43">
      <c r="A107" s="4">
        <v>187</v>
      </c>
      <c r="B107" s="5" t="s">
        <v>253</v>
      </c>
      <c r="C107" s="13" t="s">
        <v>254</v>
      </c>
      <c r="D107" s="22" t="s">
        <v>254</v>
      </c>
      <c r="E107" s="5" t="s">
        <v>44</v>
      </c>
      <c r="F107" s="23">
        <v>1999</v>
      </c>
      <c r="G107" s="24">
        <v>42.251377179999999</v>
      </c>
      <c r="H107" s="24">
        <v>-83.118551530000005</v>
      </c>
      <c r="I107" s="25"/>
      <c r="J107" s="25"/>
      <c r="L107" s="26">
        <v>0.87</v>
      </c>
      <c r="M107" s="17">
        <f t="shared" si="2"/>
        <v>1</v>
      </c>
      <c r="N107" s="1">
        <v>129</v>
      </c>
      <c r="O107" s="18">
        <v>55</v>
      </c>
      <c r="P107" s="19">
        <v>0.90303827011291204</v>
      </c>
      <c r="Q107" s="20">
        <v>0.87000000000000011</v>
      </c>
      <c r="R107" s="19">
        <v>1.5294237110666935</v>
      </c>
      <c r="S107" s="19">
        <v>0.98767590642307002</v>
      </c>
      <c r="T107" s="19">
        <v>1.9337977484465121</v>
      </c>
      <c r="U107" s="19">
        <v>3.2593095818633739</v>
      </c>
      <c r="V107" s="19">
        <v>3.2049054607321703</v>
      </c>
      <c r="W107" s="19">
        <v>1.7666472713015606</v>
      </c>
      <c r="X107" s="19">
        <v>4.074768489793775</v>
      </c>
      <c r="Y107" s="19">
        <v>12.139787812595102</v>
      </c>
      <c r="Z107" s="19">
        <v>4.9001646008458302</v>
      </c>
      <c r="AA107" s="19">
        <v>6.0310558396444982</v>
      </c>
      <c r="AB107" s="19">
        <v>16.323064079859655</v>
      </c>
      <c r="AC107" s="19">
        <v>1.5253427906386201</v>
      </c>
      <c r="AD107" s="19">
        <v>2.5829047767931446</v>
      </c>
      <c r="AE107" s="19">
        <v>3.9351497845810761</v>
      </c>
      <c r="AF107" s="19">
        <v>4.0766558358905183</v>
      </c>
      <c r="AG107" s="19">
        <v>13.98208642290253</v>
      </c>
      <c r="AH107" s="19">
        <v>9.5048450940153604</v>
      </c>
      <c r="AI107" s="19">
        <v>14.569216738028034</v>
      </c>
      <c r="AJ107" s="19">
        <v>8.2725472085728278</v>
      </c>
      <c r="AK107" s="19">
        <v>8.1733767540955728</v>
      </c>
      <c r="AL107" s="19">
        <v>3.6775121285177899</v>
      </c>
      <c r="AM107" s="19">
        <v>7.8286113870338028</v>
      </c>
      <c r="AN107" s="19">
        <v>4.933119883491778</v>
      </c>
      <c r="AO107" s="19">
        <v>4.9759884728657759</v>
      </c>
      <c r="AP107" s="19">
        <v>5.3465915357236184</v>
      </c>
      <c r="AQ107" s="19">
        <v>2.7032503219838647E-2</v>
      </c>
    </row>
    <row r="108" spans="1:43">
      <c r="A108" s="21">
        <v>188</v>
      </c>
      <c r="B108" s="5" t="s">
        <v>255</v>
      </c>
      <c r="C108" s="13" t="s">
        <v>256</v>
      </c>
      <c r="D108" s="22" t="s">
        <v>256</v>
      </c>
      <c r="E108" s="5" t="s">
        <v>44</v>
      </c>
      <c r="F108" s="23">
        <v>1999</v>
      </c>
      <c r="G108" s="24">
        <v>42.244067540000003</v>
      </c>
      <c r="H108" s="24">
        <v>-83.125191209999997</v>
      </c>
      <c r="I108" s="25"/>
      <c r="J108" s="25"/>
      <c r="L108" s="26">
        <v>1.8149999999999999</v>
      </c>
      <c r="M108" s="17">
        <f t="shared" si="2"/>
        <v>1</v>
      </c>
      <c r="N108" s="1">
        <v>64</v>
      </c>
      <c r="O108" s="18">
        <v>57</v>
      </c>
      <c r="P108" s="19">
        <v>1.4931349223055048</v>
      </c>
      <c r="Q108" s="20">
        <v>1.8149999999999999</v>
      </c>
      <c r="R108" s="19">
        <v>0.36377292449298781</v>
      </c>
      <c r="S108" s="19">
        <v>0.13749308631434304</v>
      </c>
      <c r="T108" s="19">
        <v>0.50046343622916267</v>
      </c>
      <c r="U108" s="19">
        <v>1.1741635467222062</v>
      </c>
      <c r="V108" s="19">
        <v>0.34353473031774706</v>
      </c>
      <c r="W108" s="19">
        <v>0.38496376435193819</v>
      </c>
      <c r="X108" s="19">
        <v>2.4159629335654773</v>
      </c>
      <c r="Y108" s="19">
        <v>13.374344888871166</v>
      </c>
      <c r="Z108" s="19">
        <v>2.1565239056539842</v>
      </c>
      <c r="AA108" s="19">
        <v>1.4426229109453829E-4</v>
      </c>
      <c r="AB108" s="19">
        <v>15.803139501647694</v>
      </c>
      <c r="AC108" s="19">
        <v>0.71208706125062893</v>
      </c>
      <c r="AD108" s="19">
        <v>3.1819261159260597</v>
      </c>
      <c r="AE108" s="19">
        <v>4.4819380199725343</v>
      </c>
      <c r="AF108" s="19">
        <v>5.4041200917789451</v>
      </c>
      <c r="AG108" s="19">
        <v>14.395176171838123</v>
      </c>
      <c r="AH108" s="19">
        <v>11.334596065515107</v>
      </c>
      <c r="AI108" s="19">
        <v>13.847919067369793</v>
      </c>
      <c r="AJ108" s="19">
        <v>8.9617858006453002</v>
      </c>
      <c r="AK108" s="19">
        <v>7.8939737846694857</v>
      </c>
      <c r="AL108" s="19">
        <v>4.6453928158031008</v>
      </c>
      <c r="AM108" s="19">
        <v>2.9597961310699814</v>
      </c>
      <c r="AN108" s="19">
        <v>0.36604751127198593</v>
      </c>
      <c r="AO108" s="19">
        <v>5.1079297288423611</v>
      </c>
      <c r="AP108" s="19">
        <v>5.8262014681706153</v>
      </c>
      <c r="AQ108" s="19">
        <v>5.0130868982399102E-2</v>
      </c>
    </row>
    <row r="109" spans="1:43">
      <c r="A109" s="4">
        <v>189</v>
      </c>
      <c r="B109" s="5" t="s">
        <v>257</v>
      </c>
      <c r="C109" s="13" t="s">
        <v>258</v>
      </c>
      <c r="D109" s="22" t="s">
        <v>258</v>
      </c>
      <c r="E109" s="5" t="s">
        <v>44</v>
      </c>
      <c r="F109" s="23">
        <v>1999</v>
      </c>
      <c r="G109" s="24">
        <v>42.245801069999999</v>
      </c>
      <c r="H109" s="24">
        <v>-83.120582949999999</v>
      </c>
      <c r="I109" s="25"/>
      <c r="J109" s="25"/>
      <c r="L109" s="26">
        <v>0.94</v>
      </c>
      <c r="M109" s="17">
        <f t="shared" si="2"/>
        <v>1</v>
      </c>
      <c r="N109" s="1">
        <v>22</v>
      </c>
      <c r="O109" s="18">
        <v>58</v>
      </c>
      <c r="P109" s="19">
        <v>0.9560566524124029</v>
      </c>
      <c r="Q109" s="20">
        <v>0.93999999999999972</v>
      </c>
      <c r="R109" s="19">
        <v>0.38061187020342763</v>
      </c>
      <c r="S109" s="19">
        <v>0.11122505795658232</v>
      </c>
      <c r="T109" s="19">
        <v>0.59784924491173208</v>
      </c>
      <c r="U109" s="19">
        <v>1.196432712996274</v>
      </c>
      <c r="V109" s="19">
        <v>0.79871596001093736</v>
      </c>
      <c r="W109" s="19">
        <v>0.2750626634890237</v>
      </c>
      <c r="X109" s="19">
        <v>2.0198022493100529</v>
      </c>
      <c r="Y109" s="19">
        <v>12.256800378522231</v>
      </c>
      <c r="Z109" s="19">
        <v>1.9041940685371179</v>
      </c>
      <c r="AA109" s="19">
        <v>5.9138374138012571E-4</v>
      </c>
      <c r="AB109" s="19">
        <v>15.6423115875194</v>
      </c>
      <c r="AC109" s="19">
        <v>0.45602018449534037</v>
      </c>
      <c r="AD109" s="19">
        <v>2.3926801394083541</v>
      </c>
      <c r="AE109" s="19">
        <v>3.6332182034616896</v>
      </c>
      <c r="AF109" s="19">
        <v>3.9284433472067466</v>
      </c>
      <c r="AG109" s="19">
        <v>13.650106515667098</v>
      </c>
      <c r="AH109" s="19">
        <v>9.7578111630861653</v>
      </c>
      <c r="AI109" s="19">
        <v>13.801786011683239</v>
      </c>
      <c r="AJ109" s="19">
        <v>7.993481571819486</v>
      </c>
      <c r="AK109" s="19">
        <v>6.851446686387586</v>
      </c>
      <c r="AL109" s="19">
        <v>3.7900310996740525</v>
      </c>
      <c r="AM109" s="19">
        <v>2.8181371034253666</v>
      </c>
      <c r="AN109" s="19">
        <v>3.8947508426937465E-4</v>
      </c>
      <c r="AO109" s="19">
        <v>4.483598485795091</v>
      </c>
      <c r="AP109" s="19">
        <v>5.0939263229556015</v>
      </c>
      <c r="AQ109" s="19">
        <v>6.5601667002752162E-2</v>
      </c>
    </row>
    <row r="110" spans="1:43">
      <c r="A110" s="4">
        <v>19</v>
      </c>
      <c r="B110" s="5" t="s">
        <v>259</v>
      </c>
      <c r="C110" s="13" t="s">
        <v>260</v>
      </c>
      <c r="D110" s="22" t="s">
        <v>260</v>
      </c>
      <c r="E110" s="5" t="s">
        <v>44</v>
      </c>
      <c r="F110" s="23">
        <v>1999</v>
      </c>
      <c r="G110" s="24">
        <v>42.114213499999998</v>
      </c>
      <c r="H110" s="24">
        <v>-83.18025883</v>
      </c>
      <c r="I110" s="25"/>
      <c r="J110" s="25"/>
      <c r="L110" s="26">
        <v>1.1299999999999999</v>
      </c>
      <c r="M110" s="17">
        <f t="shared" si="2"/>
        <v>1</v>
      </c>
      <c r="N110" s="1">
        <v>208</v>
      </c>
      <c r="O110" s="18">
        <v>116</v>
      </c>
      <c r="P110" s="19">
        <v>1.0908534304511135</v>
      </c>
      <c r="Q110" s="20">
        <v>1.1299999999999999</v>
      </c>
      <c r="R110" s="19">
        <v>2.1553879080275138</v>
      </c>
      <c r="S110" s="19">
        <v>4.3216059500934675E-3</v>
      </c>
      <c r="T110" s="19">
        <v>1.3751659727454051</v>
      </c>
      <c r="U110" s="19">
        <v>3.8740132134120806</v>
      </c>
      <c r="V110" s="19">
        <v>5.7592692886849527E-3</v>
      </c>
      <c r="W110" s="19">
        <v>2.1876540193348002</v>
      </c>
      <c r="X110" s="19">
        <v>7.0240515778260688</v>
      </c>
      <c r="Y110" s="19">
        <v>12.151784781947477</v>
      </c>
      <c r="Z110" s="19">
        <v>2.7789814924008351</v>
      </c>
      <c r="AA110" s="19">
        <v>3.4620526684294188E-4</v>
      </c>
      <c r="AB110" s="19">
        <v>14.364775161722923</v>
      </c>
      <c r="AC110" s="19">
        <v>1.1132783452981618</v>
      </c>
      <c r="AD110" s="19">
        <v>3.0399001870729605</v>
      </c>
      <c r="AE110" s="19">
        <v>4.8055747164431928</v>
      </c>
      <c r="AF110" s="19">
        <v>4.6098135380307577</v>
      </c>
      <c r="AG110" s="19">
        <v>14.656794517891555</v>
      </c>
      <c r="AH110" s="19">
        <v>8.9930719610850183</v>
      </c>
      <c r="AI110" s="19">
        <v>13.285854414334985</v>
      </c>
      <c r="AJ110" s="19">
        <v>8.5816998531070716</v>
      </c>
      <c r="AK110" s="19">
        <v>7.7876623560860416</v>
      </c>
      <c r="AL110" s="19">
        <v>5.0395083843830868</v>
      </c>
      <c r="AM110" s="19">
        <v>4.5801644765774316</v>
      </c>
      <c r="AN110" s="19">
        <v>1.0585772098584829</v>
      </c>
      <c r="AO110" s="19">
        <v>4.7108790540815013</v>
      </c>
      <c r="AP110" s="19">
        <v>7.5353863658948663</v>
      </c>
      <c r="AQ110" s="19">
        <v>0.43286792896104564</v>
      </c>
    </row>
    <row r="111" spans="1:43">
      <c r="A111" s="21">
        <v>190</v>
      </c>
      <c r="B111" s="5" t="s">
        <v>261</v>
      </c>
      <c r="C111" s="13" t="s">
        <v>262</v>
      </c>
      <c r="D111" s="22" t="s">
        <v>262</v>
      </c>
      <c r="E111" s="5" t="s">
        <v>44</v>
      </c>
      <c r="F111" s="23">
        <v>1999</v>
      </c>
      <c r="G111" s="24">
        <v>42.244260410000003</v>
      </c>
      <c r="H111" s="24">
        <v>-83.119161730000002</v>
      </c>
      <c r="I111" s="25"/>
      <c r="J111" s="25"/>
      <c r="L111" s="26">
        <v>3.0766666666666667</v>
      </c>
      <c r="M111" s="17">
        <f t="shared" si="2"/>
        <v>1</v>
      </c>
      <c r="N111" s="1">
        <v>100</v>
      </c>
      <c r="O111" s="18">
        <v>59</v>
      </c>
      <c r="P111" s="19">
        <v>2.0273899980315058</v>
      </c>
      <c r="Q111" s="20">
        <v>3.0766666666666662</v>
      </c>
      <c r="R111" s="19">
        <v>1.2240141195657903</v>
      </c>
      <c r="S111" s="19">
        <v>0.40311398555446815</v>
      </c>
      <c r="T111" s="19">
        <v>1.221354207370692</v>
      </c>
      <c r="U111" s="19">
        <v>2.234217817518295</v>
      </c>
      <c r="V111" s="19">
        <v>1.1346782843979606</v>
      </c>
      <c r="W111" s="19">
        <v>1.2107023511872539</v>
      </c>
      <c r="X111" s="19">
        <v>3.0929608790754819</v>
      </c>
      <c r="Y111" s="19">
        <v>13.769380599395193</v>
      </c>
      <c r="Z111" s="19">
        <v>5.3270286692422797</v>
      </c>
      <c r="AA111" s="19">
        <v>6.4603625886152134</v>
      </c>
      <c r="AB111" s="19">
        <v>15.35935697555133</v>
      </c>
      <c r="AC111" s="19">
        <v>1.7833313460036986</v>
      </c>
      <c r="AD111" s="19">
        <v>3.2029354287283183</v>
      </c>
      <c r="AE111" s="19">
        <v>4.7176729695880573</v>
      </c>
      <c r="AF111" s="19">
        <v>4.6992790602857308</v>
      </c>
      <c r="AG111" s="19">
        <v>14.29204261540864</v>
      </c>
      <c r="AH111" s="19">
        <v>11.487474348069064</v>
      </c>
      <c r="AI111" s="19">
        <v>14.205603671859574</v>
      </c>
      <c r="AJ111" s="19">
        <v>8.5865701246951822</v>
      </c>
      <c r="AK111" s="19">
        <v>7.8561863883821017</v>
      </c>
      <c r="AL111" s="19">
        <v>4.7337359385354905</v>
      </c>
      <c r="AM111" s="19">
        <v>3.8309858571218509</v>
      </c>
      <c r="AN111" s="19">
        <v>5.3468295873625422</v>
      </c>
      <c r="AO111" s="19">
        <v>5.339574704217207</v>
      </c>
      <c r="AP111" s="19">
        <v>6.0803185081458038</v>
      </c>
      <c r="AQ111" s="19">
        <v>0.35801338831340834</v>
      </c>
    </row>
    <row r="112" spans="1:43">
      <c r="A112" s="4">
        <v>191</v>
      </c>
      <c r="B112" s="5" t="s">
        <v>263</v>
      </c>
      <c r="C112" s="13" t="s">
        <v>264</v>
      </c>
      <c r="D112" s="22" t="s">
        <v>264</v>
      </c>
      <c r="E112" s="5" t="s">
        <v>44</v>
      </c>
      <c r="F112" s="23">
        <v>1999</v>
      </c>
      <c r="G112" s="24">
        <v>42.250095819999999</v>
      </c>
      <c r="H112" s="24">
        <v>-83.115769169999993</v>
      </c>
      <c r="I112" s="25"/>
      <c r="J112" s="25"/>
      <c r="L112" s="26">
        <v>0.88</v>
      </c>
      <c r="M112" s="17">
        <f t="shared" si="2"/>
        <v>1</v>
      </c>
      <c r="N112" s="1">
        <v>109</v>
      </c>
      <c r="O112" s="18">
        <v>60</v>
      </c>
      <c r="P112" s="19">
        <v>0.91073266190291258</v>
      </c>
      <c r="Q112" s="20">
        <v>0.87999999999999989</v>
      </c>
      <c r="R112" s="19">
        <v>0.9807103378712525</v>
      </c>
      <c r="S112" s="19">
        <v>0.86494504141811313</v>
      </c>
      <c r="T112" s="19">
        <v>0.60110484898307903</v>
      </c>
      <c r="U112" s="19">
        <v>2.0633470550613122</v>
      </c>
      <c r="V112" s="19">
        <v>1.2926174444270048E-2</v>
      </c>
      <c r="W112" s="19">
        <v>0.43677985227464888</v>
      </c>
      <c r="X112" s="19">
        <v>3.8915885382596631</v>
      </c>
      <c r="Y112" s="19">
        <v>12.191636016870245</v>
      </c>
      <c r="Z112" s="19">
        <v>2.141011783140371</v>
      </c>
      <c r="AA112" s="19">
        <v>4.7601082602606479E-4</v>
      </c>
      <c r="AB112" s="19">
        <v>15.251811378267458</v>
      </c>
      <c r="AC112" s="19">
        <v>0.58496276015521664</v>
      </c>
      <c r="AD112" s="19">
        <v>2.7324596033138313</v>
      </c>
      <c r="AE112" s="19">
        <v>3.8710382990744483</v>
      </c>
      <c r="AF112" s="19">
        <v>4.2499539851888191</v>
      </c>
      <c r="AG112" s="19">
        <v>13.902458003207002</v>
      </c>
      <c r="AH112" s="19">
        <v>9.2027508393592719</v>
      </c>
      <c r="AI112" s="19">
        <v>13.418971269290665</v>
      </c>
      <c r="AJ112" s="19">
        <v>8.4874526543194833</v>
      </c>
      <c r="AK112" s="19">
        <v>6.1297402432865251</v>
      </c>
      <c r="AL112" s="19">
        <v>4.0605131635546003</v>
      </c>
      <c r="AM112" s="19">
        <v>3.2604746693206921</v>
      </c>
      <c r="AN112" s="19">
        <v>6.202255286480822E-4</v>
      </c>
      <c r="AO112" s="19">
        <v>5.1904672620290331</v>
      </c>
      <c r="AP112" s="19">
        <v>5.4750117553919599</v>
      </c>
      <c r="AQ112" s="19">
        <v>5.8398981443293481E-2</v>
      </c>
    </row>
    <row r="113" spans="1:43">
      <c r="A113" s="21">
        <v>192</v>
      </c>
      <c r="B113" s="5" t="s">
        <v>265</v>
      </c>
      <c r="C113" s="13" t="s">
        <v>266</v>
      </c>
      <c r="D113" s="43"/>
      <c r="E113" s="5" t="s">
        <v>44</v>
      </c>
      <c r="F113" s="44"/>
      <c r="G113" s="44"/>
      <c r="H113" s="44"/>
      <c r="I113" s="44"/>
      <c r="J113" s="44"/>
      <c r="L113" s="45"/>
      <c r="M113" s="17"/>
      <c r="N113" s="1">
        <v>77</v>
      </c>
      <c r="O113" s="18">
        <v>63</v>
      </c>
      <c r="P113" s="19">
        <v>0.69599381310990016</v>
      </c>
      <c r="Q113" s="20">
        <v>0.62000000000000011</v>
      </c>
      <c r="R113" s="19">
        <v>0.6873813276332339</v>
      </c>
      <c r="S113" s="19">
        <v>0.35043295737261043</v>
      </c>
      <c r="T113" s="19">
        <v>0.53159206697033756</v>
      </c>
      <c r="U113" s="19">
        <v>1.6998350041013255</v>
      </c>
      <c r="V113" s="19">
        <v>1.7209290032223101E-2</v>
      </c>
      <c r="W113" s="19">
        <v>0.40265174843078166</v>
      </c>
      <c r="X113" s="19">
        <v>2.9186247443509323</v>
      </c>
      <c r="Y113" s="19">
        <v>12.008503981949891</v>
      </c>
      <c r="Z113" s="19">
        <v>2.4306382327746285</v>
      </c>
      <c r="AA113" s="19">
        <v>8.5093907177549017E-4</v>
      </c>
      <c r="AB113" s="19">
        <v>15.228199130091744</v>
      </c>
      <c r="AC113" s="19">
        <v>0.67187826022580721</v>
      </c>
      <c r="AD113" s="19">
        <v>2.7301747696848486</v>
      </c>
      <c r="AE113" s="19">
        <v>3.4677317602695772</v>
      </c>
      <c r="AF113" s="19">
        <v>4.438754348916266</v>
      </c>
      <c r="AG113" s="19">
        <v>14.191559024057884</v>
      </c>
      <c r="AH113" s="19">
        <v>8.7843464321886007</v>
      </c>
      <c r="AI113" s="19">
        <v>12.916479249257675</v>
      </c>
      <c r="AJ113" s="19">
        <v>8.5900619443467612</v>
      </c>
      <c r="AK113" s="19">
        <v>6.4274917787521657</v>
      </c>
      <c r="AL113" s="19">
        <v>3.9655822728108547</v>
      </c>
      <c r="AM113" s="19">
        <v>3.1442124895371824</v>
      </c>
      <c r="AN113" s="19">
        <v>2.1638802743712018E-4</v>
      </c>
      <c r="AO113" s="19">
        <v>4.964335796615833</v>
      </c>
      <c r="AP113" s="19">
        <v>5.0436150176003807</v>
      </c>
      <c r="AQ113" s="19">
        <v>2.3277059639941214E-2</v>
      </c>
    </row>
    <row r="114" spans="1:43">
      <c r="A114" s="4">
        <v>193</v>
      </c>
      <c r="B114" s="5" t="s">
        <v>267</v>
      </c>
      <c r="C114" s="13" t="s">
        <v>268</v>
      </c>
      <c r="D114" s="22" t="s">
        <v>268</v>
      </c>
      <c r="E114" s="5" t="s">
        <v>44</v>
      </c>
      <c r="F114" s="23">
        <v>1999</v>
      </c>
      <c r="G114" s="24">
        <v>42.206768019999998</v>
      </c>
      <c r="H114" s="24">
        <v>-83.126532249999997</v>
      </c>
      <c r="I114" s="25"/>
      <c r="J114" s="25"/>
      <c r="L114" s="26">
        <v>7.11</v>
      </c>
      <c r="M114" s="17">
        <f t="shared" ref="M114:M160" si="3">(L114=Q114)*1</f>
        <v>1</v>
      </c>
      <c r="N114" s="1">
        <v>171</v>
      </c>
      <c r="O114" s="18">
        <v>64</v>
      </c>
      <c r="P114" s="19">
        <v>3.0197019144425483</v>
      </c>
      <c r="Q114" s="20">
        <v>7.1099999999999977</v>
      </c>
      <c r="R114" s="19">
        <v>0.54328442578963332</v>
      </c>
      <c r="S114" s="19">
        <v>0.37237536297653123</v>
      </c>
      <c r="T114" s="19">
        <v>0.67256511040848299</v>
      </c>
      <c r="U114" s="19">
        <v>0.96391932334730668</v>
      </c>
      <c r="V114" s="19">
        <v>0.48637348794607232</v>
      </c>
      <c r="W114" s="19">
        <v>0.46031909758612521</v>
      </c>
      <c r="X114" s="19">
        <v>2.521891094057529</v>
      </c>
      <c r="Y114" s="19">
        <v>14.66527706392289</v>
      </c>
      <c r="Z114" s="19">
        <v>2.0235384915205721</v>
      </c>
      <c r="AA114" s="19">
        <v>5.481199793362575E-4</v>
      </c>
      <c r="AB114" s="19">
        <v>13.432388540277481</v>
      </c>
      <c r="AC114" s="19">
        <v>0.82154789748083534</v>
      </c>
      <c r="AD114" s="19">
        <v>3.5839251135684336</v>
      </c>
      <c r="AE114" s="19">
        <v>5.1252199964633034</v>
      </c>
      <c r="AF114" s="19">
        <v>5.5322950621463471</v>
      </c>
      <c r="AG114" s="19">
        <v>14.636607390216136</v>
      </c>
      <c r="AH114" s="19">
        <v>12.174480239930492</v>
      </c>
      <c r="AI114" s="19">
        <v>13.240722983067675</v>
      </c>
      <c r="AJ114" s="19">
        <v>7.8058486201889368</v>
      </c>
      <c r="AK114" s="19">
        <v>7.0424537617786909</v>
      </c>
      <c r="AL114" s="19">
        <v>5.2772543693947807</v>
      </c>
      <c r="AM114" s="19">
        <v>2.968869285629101</v>
      </c>
      <c r="AN114" s="19">
        <v>0.51541783423222853</v>
      </c>
      <c r="AO114" s="19">
        <v>5.8196624167349817</v>
      </c>
      <c r="AP114" s="19">
        <v>6.4640849552851876</v>
      </c>
      <c r="AQ114" s="19">
        <v>0.12548648883287206</v>
      </c>
    </row>
    <row r="115" spans="1:43">
      <c r="A115" s="21">
        <v>194</v>
      </c>
      <c r="B115" s="5" t="s">
        <v>269</v>
      </c>
      <c r="C115" s="13" t="s">
        <v>270</v>
      </c>
      <c r="D115" s="22" t="s">
        <v>270</v>
      </c>
      <c r="E115" s="5" t="s">
        <v>44</v>
      </c>
      <c r="F115" s="23">
        <v>1999</v>
      </c>
      <c r="G115" s="24">
        <v>42.211238129999998</v>
      </c>
      <c r="H115" s="24">
        <v>-83.124901489999999</v>
      </c>
      <c r="I115" s="25"/>
      <c r="J115" s="25"/>
      <c r="L115" s="26">
        <v>2.0550000000000002</v>
      </c>
      <c r="M115" s="17">
        <f t="shared" si="3"/>
        <v>1</v>
      </c>
      <c r="N115" s="1">
        <v>164</v>
      </c>
      <c r="O115" s="18">
        <v>65</v>
      </c>
      <c r="P115" s="19">
        <v>1.611172380044005</v>
      </c>
      <c r="Q115" s="20">
        <v>2.0550000000000002</v>
      </c>
      <c r="R115" s="19">
        <v>0.43491308212413532</v>
      </c>
      <c r="S115" s="19">
        <v>3.1395196275534325E-2</v>
      </c>
      <c r="T115" s="19">
        <v>0.35307102182472982</v>
      </c>
      <c r="U115" s="19">
        <v>1.3894393948731787</v>
      </c>
      <c r="V115" s="19">
        <v>1.8634174139050975E-2</v>
      </c>
      <c r="W115" s="19">
        <v>0.20489035391577254</v>
      </c>
      <c r="X115" s="19">
        <v>3.0786222612087113</v>
      </c>
      <c r="Y115" s="19">
        <v>14.821143139099368</v>
      </c>
      <c r="Z115" s="19">
        <v>2.636850234729391</v>
      </c>
      <c r="AA115" s="19">
        <v>4.6158856285281213E-4</v>
      </c>
      <c r="AB115" s="19">
        <v>13.442342340630344</v>
      </c>
      <c r="AC115" s="19">
        <v>0.78463158897916929</v>
      </c>
      <c r="AD115" s="19">
        <v>3.9476886705882088</v>
      </c>
      <c r="AE115" s="19">
        <v>5.4670535334820975</v>
      </c>
      <c r="AF115" s="19">
        <v>5.6614480306710639</v>
      </c>
      <c r="AG115" s="19">
        <v>15.081376834124248</v>
      </c>
      <c r="AH115" s="19">
        <v>12.362707142828997</v>
      </c>
      <c r="AI115" s="19">
        <v>13.38593377763331</v>
      </c>
      <c r="AJ115" s="19">
        <v>7.822048586927866</v>
      </c>
      <c r="AK115" s="19">
        <v>7.2557409280697138</v>
      </c>
      <c r="AL115" s="19">
        <v>5.4900156565922025</v>
      </c>
      <c r="AM115" s="19">
        <v>3.1217264575739807</v>
      </c>
      <c r="AN115" s="19">
        <v>1.4508428495956323</v>
      </c>
      <c r="AO115" s="19">
        <v>6.1253387847535858</v>
      </c>
      <c r="AP115" s="19">
        <v>6.5040836923860921</v>
      </c>
      <c r="AQ115" s="19">
        <v>8.6264901719117729E-2</v>
      </c>
    </row>
    <row r="116" spans="1:43">
      <c r="A116" s="4">
        <v>195</v>
      </c>
      <c r="B116" s="5" t="s">
        <v>271</v>
      </c>
      <c r="C116" s="13" t="s">
        <v>272</v>
      </c>
      <c r="D116" s="22" t="s">
        <v>272</v>
      </c>
      <c r="E116" s="5" t="s">
        <v>44</v>
      </c>
      <c r="F116" s="23">
        <v>1999</v>
      </c>
      <c r="G116" s="24">
        <v>42.200473049999999</v>
      </c>
      <c r="H116" s="24">
        <v>-83.123620090000003</v>
      </c>
      <c r="I116" s="25"/>
      <c r="J116" s="25"/>
      <c r="L116" s="26">
        <v>3.61</v>
      </c>
      <c r="M116" s="17">
        <f t="shared" si="3"/>
        <v>1</v>
      </c>
      <c r="N116" s="1">
        <v>160</v>
      </c>
      <c r="O116" s="18">
        <v>66</v>
      </c>
      <c r="P116" s="19">
        <v>2.2047667506546129</v>
      </c>
      <c r="Q116" s="20">
        <v>3.6099999999999985</v>
      </c>
      <c r="R116" s="19">
        <v>0.66313949681603523</v>
      </c>
      <c r="S116" s="19">
        <v>0.14305050838338873</v>
      </c>
      <c r="T116" s="19">
        <v>0.61932094018268913</v>
      </c>
      <c r="U116" s="19">
        <v>1.3854424397612599</v>
      </c>
      <c r="V116" s="19">
        <v>0.66443529725416861</v>
      </c>
      <c r="W116" s="19">
        <v>0.57573059174182306</v>
      </c>
      <c r="X116" s="19">
        <v>2.5263319158780204</v>
      </c>
      <c r="Y116" s="19">
        <v>14.735087499681313</v>
      </c>
      <c r="Z116" s="19">
        <v>0.96026418766118726</v>
      </c>
      <c r="AA116" s="19">
        <v>2.0196316863254252E-4</v>
      </c>
      <c r="AB116" s="19">
        <v>13.406832725453373</v>
      </c>
      <c r="AC116" s="19">
        <v>0.71719898589175723</v>
      </c>
      <c r="AD116" s="19">
        <v>3.7792636112608151</v>
      </c>
      <c r="AE116" s="19">
        <v>5.5001171470153611</v>
      </c>
      <c r="AF116" s="19">
        <v>5.2969414271829898</v>
      </c>
      <c r="AG116" s="19">
        <v>14.767684801306586</v>
      </c>
      <c r="AH116" s="19">
        <v>12.239450387727997</v>
      </c>
      <c r="AI116" s="19">
        <v>13.201664293923873</v>
      </c>
      <c r="AJ116" s="19">
        <v>7.7688307281998945</v>
      </c>
      <c r="AK116" s="19">
        <v>6.8730356234852232</v>
      </c>
      <c r="AL116" s="19">
        <v>5.4336611232174592</v>
      </c>
      <c r="AM116" s="19">
        <v>3.0945256797494665</v>
      </c>
      <c r="AN116" s="19">
        <v>0.75281893356596385</v>
      </c>
      <c r="AO116" s="19">
        <v>5.921083778874614</v>
      </c>
      <c r="AP116" s="19">
        <v>6.2865508154937562</v>
      </c>
      <c r="AQ116" s="19">
        <v>0.13717012037390156</v>
      </c>
    </row>
    <row r="117" spans="1:43">
      <c r="A117" s="21">
        <v>196</v>
      </c>
      <c r="B117" s="5" t="s">
        <v>273</v>
      </c>
      <c r="C117" s="13" t="s">
        <v>274</v>
      </c>
      <c r="D117" s="22" t="s">
        <v>274</v>
      </c>
      <c r="E117" s="5" t="s">
        <v>44</v>
      </c>
      <c r="F117" s="23">
        <v>1999</v>
      </c>
      <c r="G117" s="24">
        <v>42.204433080000001</v>
      </c>
      <c r="H117" s="24">
        <v>-83.109144760000007</v>
      </c>
      <c r="I117" s="25"/>
      <c r="J117" s="25"/>
      <c r="L117" s="26">
        <v>5.54</v>
      </c>
      <c r="M117" s="17">
        <f t="shared" si="3"/>
        <v>1</v>
      </c>
      <c r="N117" s="1">
        <v>166</v>
      </c>
      <c r="O117" s="18">
        <v>67</v>
      </c>
      <c r="P117" s="19">
        <v>2.7092906357233577</v>
      </c>
      <c r="Q117" s="20">
        <v>5.54</v>
      </c>
      <c r="R117" s="19">
        <v>1.6575920186534792</v>
      </c>
      <c r="S117" s="19">
        <v>0.47005422917760048</v>
      </c>
      <c r="T117" s="19">
        <v>1.5504067298712307</v>
      </c>
      <c r="U117" s="19">
        <v>2.6501157377016069</v>
      </c>
      <c r="V117" s="19">
        <v>1.1773342334006396</v>
      </c>
      <c r="W117" s="19">
        <v>1.5943360068053003</v>
      </c>
      <c r="X117" s="19">
        <v>4.5373298725832107</v>
      </c>
      <c r="Y117" s="19">
        <v>14.163903034200393</v>
      </c>
      <c r="Z117" s="19">
        <v>1.6533646797385786</v>
      </c>
      <c r="AA117" s="19">
        <v>3.6062868351496158E-4</v>
      </c>
      <c r="AB117" s="19">
        <v>15.656324642914569</v>
      </c>
      <c r="AC117" s="19">
        <v>1.0427367049272473</v>
      </c>
      <c r="AD117" s="19">
        <v>3.4114630512635742</v>
      </c>
      <c r="AE117" s="19">
        <v>4.9243092806504185</v>
      </c>
      <c r="AF117" s="19">
        <v>5.4468912646448668</v>
      </c>
      <c r="AG117" s="19">
        <v>14.441170236392853</v>
      </c>
      <c r="AH117" s="19">
        <v>12.149827537428084</v>
      </c>
      <c r="AI117" s="19">
        <v>14.40704867624383</v>
      </c>
      <c r="AJ117" s="19">
        <v>8.5980762581770502</v>
      </c>
      <c r="AK117" s="19">
        <v>7.8295869252311334</v>
      </c>
      <c r="AL117" s="19">
        <v>5.0851709313508522</v>
      </c>
      <c r="AM117" s="19">
        <v>4.5222529762000372</v>
      </c>
      <c r="AN117" s="19">
        <v>0.35096519984056057</v>
      </c>
      <c r="AO117" s="19">
        <v>5.5625615115677123</v>
      </c>
      <c r="AP117" s="19">
        <v>7.0013873644753746</v>
      </c>
      <c r="AQ117" s="19">
        <v>0.67360574341828394</v>
      </c>
    </row>
    <row r="118" spans="1:43">
      <c r="A118" s="4">
        <v>197</v>
      </c>
      <c r="B118" s="5" t="s">
        <v>275</v>
      </c>
      <c r="C118" s="13" t="s">
        <v>276</v>
      </c>
      <c r="D118" s="22" t="s">
        <v>276</v>
      </c>
      <c r="E118" s="5" t="s">
        <v>44</v>
      </c>
      <c r="F118" s="23">
        <v>1999</v>
      </c>
      <c r="G118" s="24">
        <v>42.20089797</v>
      </c>
      <c r="H118" s="24">
        <v>-83.107452570000007</v>
      </c>
      <c r="I118" s="25"/>
      <c r="J118" s="25"/>
      <c r="L118" s="26">
        <v>2.13</v>
      </c>
      <c r="M118" s="17">
        <f t="shared" si="3"/>
        <v>1</v>
      </c>
      <c r="N118" s="1">
        <v>174</v>
      </c>
      <c r="O118" s="18">
        <v>68</v>
      </c>
      <c r="P118" s="19">
        <v>1.6461626571578936</v>
      </c>
      <c r="Q118" s="20">
        <v>2.13</v>
      </c>
      <c r="R118" s="19">
        <v>1.2131576440171445</v>
      </c>
      <c r="S118" s="19">
        <v>0.35528286969435519</v>
      </c>
      <c r="T118" s="19">
        <v>1.0309564951136456</v>
      </c>
      <c r="U118" s="19">
        <v>2.3144825266603215</v>
      </c>
      <c r="V118" s="19">
        <v>0.72504859671603838</v>
      </c>
      <c r="W118" s="19">
        <v>1.0218963633359048</v>
      </c>
      <c r="X118" s="19">
        <v>4.7737982843450331</v>
      </c>
      <c r="Y118" s="19">
        <v>12.596447020705787</v>
      </c>
      <c r="Z118" s="19">
        <v>1.519309703934004</v>
      </c>
      <c r="AA118" s="19">
        <v>6.9232747432241518E-4</v>
      </c>
      <c r="AB118" s="19">
        <v>14.620615540170361</v>
      </c>
      <c r="AC118" s="19">
        <v>0.63589976035385709</v>
      </c>
      <c r="AD118" s="19">
        <v>2.5898024041622874</v>
      </c>
      <c r="AE118" s="19">
        <v>4.2456049054565224</v>
      </c>
      <c r="AF118" s="19">
        <v>4.3938780671075488</v>
      </c>
      <c r="AG118" s="19">
        <v>13.747761922635675</v>
      </c>
      <c r="AH118" s="19">
        <v>10.266061657515563</v>
      </c>
      <c r="AI118" s="19">
        <v>13.402867728996002</v>
      </c>
      <c r="AJ118" s="19">
        <v>7.7924187608391255</v>
      </c>
      <c r="AK118" s="19">
        <v>6.3890244293384919</v>
      </c>
      <c r="AL118" s="19">
        <v>4.0269510904037684</v>
      </c>
      <c r="AM118" s="19">
        <v>4.3094161333652465</v>
      </c>
      <c r="AN118" s="19">
        <v>0.45742384115897694</v>
      </c>
      <c r="AO118" s="19">
        <v>4.6659948379950347</v>
      </c>
      <c r="AP118" s="19">
        <v>6.0401403554423112</v>
      </c>
      <c r="AQ118" s="19">
        <v>0.28696501559880799</v>
      </c>
    </row>
    <row r="119" spans="1:43">
      <c r="A119" s="21">
        <v>198</v>
      </c>
      <c r="B119" s="5" t="s">
        <v>277</v>
      </c>
      <c r="C119" s="13" t="s">
        <v>278</v>
      </c>
      <c r="D119" s="22" t="s">
        <v>278</v>
      </c>
      <c r="E119" s="5" t="s">
        <v>44</v>
      </c>
      <c r="F119" s="23">
        <v>1999</v>
      </c>
      <c r="G119" s="24">
        <v>42.213472770000003</v>
      </c>
      <c r="H119" s="24">
        <v>-83.104854239999995</v>
      </c>
      <c r="I119" s="25"/>
      <c r="J119" s="25"/>
      <c r="L119" s="26">
        <v>6.25</v>
      </c>
      <c r="M119" s="17">
        <f t="shared" si="3"/>
        <v>1</v>
      </c>
      <c r="N119" s="1">
        <v>192</v>
      </c>
      <c r="O119" s="18">
        <v>69</v>
      </c>
      <c r="P119" s="19">
        <v>2.8579809951275723</v>
      </c>
      <c r="Q119" s="20">
        <v>6.2500000000000009</v>
      </c>
      <c r="R119" s="19">
        <v>1.7876291496773957</v>
      </c>
      <c r="S119" s="19">
        <v>0.42718662633494919</v>
      </c>
      <c r="T119" s="19">
        <v>1.5615344479433806</v>
      </c>
      <c r="U119" s="19">
        <v>2.7410696458678339</v>
      </c>
      <c r="V119" s="19">
        <v>2.5737561413608275E-2</v>
      </c>
      <c r="W119" s="19">
        <v>2.6201163262988718</v>
      </c>
      <c r="X119" s="19">
        <v>4.5452615203393636</v>
      </c>
      <c r="Y119" s="19">
        <v>14.561907213433205</v>
      </c>
      <c r="Z119" s="19">
        <v>2.0524901727283877</v>
      </c>
      <c r="AA119" s="19">
        <v>7.5000643648463696E-4</v>
      </c>
      <c r="AB119" s="19">
        <v>15.718448435545596</v>
      </c>
      <c r="AC119" s="19">
        <v>1.2319654766674071</v>
      </c>
      <c r="AD119" s="19">
        <v>3.6599524748427759</v>
      </c>
      <c r="AE119" s="19">
        <v>5.3192114283817338</v>
      </c>
      <c r="AF119" s="19">
        <v>5.7178495636330533</v>
      </c>
      <c r="AG119" s="19">
        <v>14.739507099626191</v>
      </c>
      <c r="AH119" s="19">
        <v>12.501035277561803</v>
      </c>
      <c r="AI119" s="19">
        <v>14.409224436543653</v>
      </c>
      <c r="AJ119" s="19">
        <v>8.8462294944633157</v>
      </c>
      <c r="AK119" s="19">
        <v>8.2195624946534203</v>
      </c>
      <c r="AL119" s="19">
        <v>5.3706232462255716</v>
      </c>
      <c r="AM119" s="19">
        <v>4.8039504980696677</v>
      </c>
      <c r="AN119" s="19">
        <v>0.65643849110290287</v>
      </c>
      <c r="AO119" s="19">
        <v>5.8855189380445649</v>
      </c>
      <c r="AP119" s="19">
        <v>7.3431519677406971</v>
      </c>
      <c r="AQ119" s="19">
        <v>0.67719434713518234</v>
      </c>
    </row>
    <row r="120" spans="1:43">
      <c r="A120" s="4">
        <v>199</v>
      </c>
      <c r="B120" s="5" t="s">
        <v>279</v>
      </c>
      <c r="C120" s="13" t="s">
        <v>280</v>
      </c>
      <c r="D120" s="22" t="s">
        <v>280</v>
      </c>
      <c r="E120" s="5" t="s">
        <v>44</v>
      </c>
      <c r="F120" s="23">
        <v>1999</v>
      </c>
      <c r="G120" s="24">
        <v>42.202035119999998</v>
      </c>
      <c r="H120" s="24">
        <v>-83.104874109999997</v>
      </c>
      <c r="I120" s="25"/>
      <c r="J120" s="25"/>
      <c r="L120" s="26">
        <v>5.65</v>
      </c>
      <c r="M120" s="17">
        <f t="shared" si="3"/>
        <v>1</v>
      </c>
      <c r="N120" s="1">
        <v>175</v>
      </c>
      <c r="O120" s="18">
        <v>70</v>
      </c>
      <c r="P120" s="19">
        <v>2.7333543406138272</v>
      </c>
      <c r="Q120" s="20">
        <v>5.6499999999999995</v>
      </c>
      <c r="R120" s="19">
        <v>1.6510324422370279</v>
      </c>
      <c r="S120" s="19">
        <v>0.71008471334843981</v>
      </c>
      <c r="T120" s="19">
        <v>1.5130528170075452</v>
      </c>
      <c r="U120" s="19">
        <v>2.7300576020673288</v>
      </c>
      <c r="V120" s="19">
        <v>1.3804447892798828</v>
      </c>
      <c r="W120" s="19">
        <v>1.8487090835395752</v>
      </c>
      <c r="X120" s="19">
        <v>4.5629945971662806</v>
      </c>
      <c r="Y120" s="19">
        <v>14.293880167672476</v>
      </c>
      <c r="Z120" s="19">
        <v>1.5998004001206123</v>
      </c>
      <c r="AA120" s="19">
        <v>3.3178170597064258E-4</v>
      </c>
      <c r="AB120" s="19">
        <v>15.616036151504481</v>
      </c>
      <c r="AC120" s="19">
        <v>1.0741540030085839</v>
      </c>
      <c r="AD120" s="19">
        <v>3.4391315447822866</v>
      </c>
      <c r="AE120" s="19">
        <v>5.093729842937603</v>
      </c>
      <c r="AF120" s="19">
        <v>5.5067440403577139</v>
      </c>
      <c r="AG120" s="19">
        <v>14.558890064639298</v>
      </c>
      <c r="AH120" s="19">
        <v>12.028697955859549</v>
      </c>
      <c r="AI120" s="19">
        <v>14.290469363407238</v>
      </c>
      <c r="AJ120" s="19">
        <v>8.7317431221930395</v>
      </c>
      <c r="AK120" s="19">
        <v>7.7345155743208309</v>
      </c>
      <c r="AL120" s="19">
        <v>5.194421746460951</v>
      </c>
      <c r="AM120" s="19">
        <v>4.5861551307492432</v>
      </c>
      <c r="AN120" s="19">
        <v>1.7311301833315159E-4</v>
      </c>
      <c r="AO120" s="19">
        <v>5.6384597551609765</v>
      </c>
      <c r="AP120" s="19">
        <v>7.0528211471403814</v>
      </c>
      <c r="AQ120" s="19">
        <v>0.62732591945767968</v>
      </c>
    </row>
    <row r="121" spans="1:43">
      <c r="A121" s="21">
        <v>20</v>
      </c>
      <c r="B121" s="5" t="s">
        <v>281</v>
      </c>
      <c r="C121" s="13" t="s">
        <v>282</v>
      </c>
      <c r="D121" s="22" t="s">
        <v>282</v>
      </c>
      <c r="E121" s="5" t="s">
        <v>44</v>
      </c>
      <c r="F121" s="23">
        <v>1999</v>
      </c>
      <c r="G121" s="24">
        <v>42.107470190000001</v>
      </c>
      <c r="H121" s="24">
        <v>-83.179205240000002</v>
      </c>
      <c r="I121" s="25"/>
      <c r="J121" s="25"/>
      <c r="L121" s="26">
        <v>2.14</v>
      </c>
      <c r="M121" s="17">
        <f t="shared" si="3"/>
        <v>1</v>
      </c>
      <c r="N121" s="1">
        <v>212</v>
      </c>
      <c r="O121" s="18">
        <v>117</v>
      </c>
      <c r="P121" s="19">
        <v>1.6507645591169025</v>
      </c>
      <c r="Q121" s="20">
        <v>2.1399999999999997</v>
      </c>
      <c r="R121" s="19">
        <v>3.0126782304012685</v>
      </c>
      <c r="S121" s="19">
        <v>1.0063683344697479E-2</v>
      </c>
      <c r="T121" s="19">
        <v>2.1943812311730091</v>
      </c>
      <c r="U121" s="19">
        <v>4.4612317615701693</v>
      </c>
      <c r="V121" s="19">
        <v>2.0057652341253476E-2</v>
      </c>
      <c r="W121" s="19">
        <v>2.4797759589555235</v>
      </c>
      <c r="X121" s="19">
        <v>7.5168191437583944</v>
      </c>
      <c r="Y121" s="19">
        <v>12.147000880824267</v>
      </c>
      <c r="Z121" s="19">
        <v>3.0308979979587072</v>
      </c>
      <c r="AA121" s="19">
        <v>0.19230995501249235</v>
      </c>
      <c r="AB121" s="19">
        <v>14.326844913304878</v>
      </c>
      <c r="AC121" s="19">
        <v>0.90628437309142618</v>
      </c>
      <c r="AD121" s="19">
        <v>3.0730024580866839</v>
      </c>
      <c r="AE121" s="19">
        <v>4.4001655918633249</v>
      </c>
      <c r="AF121" s="19">
        <v>4.5856082998265215</v>
      </c>
      <c r="AG121" s="19">
        <v>14.182340103978021</v>
      </c>
      <c r="AH121" s="19">
        <v>9.4220549355488519</v>
      </c>
      <c r="AI121" s="19">
        <v>13.404819045072459</v>
      </c>
      <c r="AJ121" s="19">
        <v>8.6383431637762591</v>
      </c>
      <c r="AK121" s="19">
        <v>6.6340078086012984</v>
      </c>
      <c r="AL121" s="19">
        <v>5.28677393870095</v>
      </c>
      <c r="AM121" s="19">
        <v>4.7462190392142185</v>
      </c>
      <c r="AN121" s="19">
        <v>1.0298840752826313</v>
      </c>
      <c r="AO121" s="19">
        <v>4.343209814198441</v>
      </c>
      <c r="AP121" s="19">
        <v>7.2651615003723586</v>
      </c>
      <c r="AQ121" s="19">
        <v>0.34008199068246808</v>
      </c>
    </row>
    <row r="122" spans="1:43">
      <c r="A122" s="21">
        <v>200</v>
      </c>
      <c r="B122" s="5" t="s">
        <v>283</v>
      </c>
      <c r="C122" s="13" t="s">
        <v>284</v>
      </c>
      <c r="D122" s="22" t="s">
        <v>284</v>
      </c>
      <c r="E122" s="5" t="s">
        <v>44</v>
      </c>
      <c r="F122" s="23">
        <v>1999</v>
      </c>
      <c r="G122" s="24">
        <v>42.225704450000002</v>
      </c>
      <c r="H122" s="24">
        <v>-83.128125170000004</v>
      </c>
      <c r="I122" s="25"/>
      <c r="J122" s="25"/>
      <c r="L122" s="26">
        <v>1.25</v>
      </c>
      <c r="M122" s="17">
        <f t="shared" si="3"/>
        <v>1</v>
      </c>
      <c r="N122" s="1">
        <v>42</v>
      </c>
      <c r="O122" s="18">
        <v>71</v>
      </c>
      <c r="P122" s="19">
        <v>1.1699250014423124</v>
      </c>
      <c r="Q122" s="20">
        <v>1.25</v>
      </c>
      <c r="R122" s="19">
        <v>0.54114588942155639</v>
      </c>
      <c r="S122" s="19">
        <v>0.22195358860253955</v>
      </c>
      <c r="T122" s="19">
        <v>0.82678046093621815</v>
      </c>
      <c r="U122" s="19">
        <v>1.8768720790199811</v>
      </c>
      <c r="V122" s="19">
        <v>1.3554345886168151</v>
      </c>
      <c r="W122" s="19">
        <v>0.63641169209297355</v>
      </c>
      <c r="X122" s="19">
        <v>2.542465790557888</v>
      </c>
      <c r="Y122" s="19">
        <v>11.927532105951625</v>
      </c>
      <c r="Z122" s="19">
        <v>3.0271229237200652</v>
      </c>
      <c r="AA122" s="19">
        <v>8.3652055619799878E-4</v>
      </c>
      <c r="AB122" s="19">
        <v>15.561237308185303</v>
      </c>
      <c r="AC122" s="19">
        <v>0.48047251732473933</v>
      </c>
      <c r="AD122" s="19">
        <v>2.3613944585608295</v>
      </c>
      <c r="AE122" s="19">
        <v>3.6021245206368477</v>
      </c>
      <c r="AF122" s="19">
        <v>4.0308809975461477</v>
      </c>
      <c r="AG122" s="19">
        <v>13.655418090602659</v>
      </c>
      <c r="AH122" s="19">
        <v>9.4807057485774315</v>
      </c>
      <c r="AI122" s="19">
        <v>13.364129477992629</v>
      </c>
      <c r="AJ122" s="19">
        <v>8.2222126439873193</v>
      </c>
      <c r="AK122" s="19">
        <v>6.2971180216394487</v>
      </c>
      <c r="AL122" s="19">
        <v>3.7932319087678823</v>
      </c>
      <c r="AM122" s="19">
        <v>3.0748231408948148</v>
      </c>
      <c r="AN122" s="19">
        <v>1.8190340596297642E-2</v>
      </c>
      <c r="AO122" s="19">
        <v>4.3831417897765164</v>
      </c>
      <c r="AP122" s="19">
        <v>4.983159535847653</v>
      </c>
      <c r="AQ122" s="19">
        <v>3.6930285686431535E-4</v>
      </c>
    </row>
    <row r="123" spans="1:43">
      <c r="A123" s="4">
        <v>201</v>
      </c>
      <c r="B123" s="5" t="s">
        <v>285</v>
      </c>
      <c r="C123" s="13" t="s">
        <v>286</v>
      </c>
      <c r="D123" s="22" t="s">
        <v>286</v>
      </c>
      <c r="E123" s="5" t="s">
        <v>44</v>
      </c>
      <c r="F123" s="23">
        <v>1999</v>
      </c>
      <c r="G123" s="24">
        <v>42.22984855</v>
      </c>
      <c r="H123" s="24">
        <v>-83.126592200000005</v>
      </c>
      <c r="I123" s="25"/>
      <c r="J123" s="25"/>
      <c r="L123" s="26">
        <v>2.44</v>
      </c>
      <c r="M123" s="17">
        <f t="shared" si="3"/>
        <v>1</v>
      </c>
      <c r="N123" s="1">
        <v>119</v>
      </c>
      <c r="O123" s="18">
        <v>72</v>
      </c>
      <c r="P123" s="19">
        <v>1.7824085649273733</v>
      </c>
      <c r="Q123" s="20">
        <v>2.44</v>
      </c>
      <c r="R123" s="19">
        <v>0.90391314319525595</v>
      </c>
      <c r="S123" s="19">
        <v>0.22892837789594903</v>
      </c>
      <c r="T123" s="19">
        <v>0.99525359857478291</v>
      </c>
      <c r="U123" s="19">
        <v>1.7861143936214054</v>
      </c>
      <c r="V123" s="19">
        <v>0.75668300754256457</v>
      </c>
      <c r="W123" s="19">
        <v>1.1569582481134693</v>
      </c>
      <c r="X123" s="19">
        <v>4.3201068214902056</v>
      </c>
      <c r="Y123" s="19">
        <v>13.207573567911192</v>
      </c>
      <c r="Z123" s="19">
        <v>1.607224508241359</v>
      </c>
      <c r="AA123" s="19">
        <v>4.3274360397113599E-4</v>
      </c>
      <c r="AB123" s="19">
        <v>15.194915866313167</v>
      </c>
      <c r="AC123" s="19">
        <v>0.48146759687010127</v>
      </c>
      <c r="AD123" s="19">
        <v>2.785890770464464</v>
      </c>
      <c r="AE123" s="19">
        <v>4.2254090464302561</v>
      </c>
      <c r="AF123" s="19">
        <v>4.5969028646533321</v>
      </c>
      <c r="AG123" s="19">
        <v>13.829778166446905</v>
      </c>
      <c r="AH123" s="19">
        <v>10.872697189180411</v>
      </c>
      <c r="AI123" s="19">
        <v>13.696393290302534</v>
      </c>
      <c r="AJ123" s="19">
        <v>8.0085249973823753</v>
      </c>
      <c r="AK123" s="19">
        <v>8.5334520644424146</v>
      </c>
      <c r="AL123" s="19">
        <v>4.1353036935198952</v>
      </c>
      <c r="AM123" s="19">
        <v>4.3404714204897523</v>
      </c>
      <c r="AN123" s="19">
        <v>0.89179463539282089</v>
      </c>
      <c r="AO123" s="19">
        <v>4.9738510202172384</v>
      </c>
      <c r="AP123" s="19">
        <v>5.8921281865419051</v>
      </c>
      <c r="AQ123" s="19">
        <v>0.36581497241616345</v>
      </c>
    </row>
    <row r="124" spans="1:43">
      <c r="A124" s="21">
        <v>202</v>
      </c>
      <c r="B124" s="5" t="s">
        <v>287</v>
      </c>
      <c r="C124" s="13" t="s">
        <v>288</v>
      </c>
      <c r="D124" s="22" t="s">
        <v>288</v>
      </c>
      <c r="E124" s="5" t="s">
        <v>44</v>
      </c>
      <c r="F124" s="23">
        <v>1999</v>
      </c>
      <c r="G124" s="24">
        <v>42.225575210000002</v>
      </c>
      <c r="H124" s="24">
        <v>-83.106880050000001</v>
      </c>
      <c r="I124" s="25"/>
      <c r="J124" s="25"/>
      <c r="L124" s="26">
        <v>1.1200000000000001</v>
      </c>
      <c r="M124" s="17">
        <f t="shared" si="3"/>
        <v>1</v>
      </c>
      <c r="N124" s="1">
        <v>136</v>
      </c>
      <c r="O124" s="18">
        <v>73</v>
      </c>
      <c r="P124" s="19">
        <v>1.0840642647884746</v>
      </c>
      <c r="Q124" s="20">
        <v>1.1200000000000001</v>
      </c>
      <c r="R124" s="19">
        <v>0.72560010596872915</v>
      </c>
      <c r="S124" s="19">
        <v>0.23506632114633605</v>
      </c>
      <c r="T124" s="19">
        <v>1.0063551471333572</v>
      </c>
      <c r="U124" s="19">
        <v>2.0943773241116692</v>
      </c>
      <c r="V124" s="19">
        <v>0.58188109628985929</v>
      </c>
      <c r="W124" s="19">
        <v>0.80468311511570101</v>
      </c>
      <c r="X124" s="19">
        <v>4.736436496694008</v>
      </c>
      <c r="Y124" s="19">
        <v>11.62046829409574</v>
      </c>
      <c r="Z124" s="19">
        <v>2.08508131303096</v>
      </c>
      <c r="AA124" s="19">
        <v>2.4523731237014032E-4</v>
      </c>
      <c r="AB124" s="19">
        <v>14.490834278282874</v>
      </c>
      <c r="AC124" s="19">
        <v>0.36671883273058364</v>
      </c>
      <c r="AD124" s="19">
        <v>2.130050192588449</v>
      </c>
      <c r="AE124" s="19">
        <v>3.3203340559277517</v>
      </c>
      <c r="AF124" s="19">
        <v>3.388499836614483</v>
      </c>
      <c r="AG124" s="19">
        <v>13.163238729549962</v>
      </c>
      <c r="AH124" s="19">
        <v>8.8705058116842359</v>
      </c>
      <c r="AI124" s="19">
        <v>12.461765501339501</v>
      </c>
      <c r="AJ124" s="19">
        <v>7.6922620854399844</v>
      </c>
      <c r="AK124" s="19">
        <v>5.8361460246985128</v>
      </c>
      <c r="AL124" s="19">
        <v>3.4293971972802866</v>
      </c>
      <c r="AM124" s="19">
        <v>3.894485656234036</v>
      </c>
      <c r="AN124" s="19">
        <v>5.04854919853093E-4</v>
      </c>
      <c r="AO124" s="19">
        <v>3.9977187889483452</v>
      </c>
      <c r="AP124" s="19">
        <v>5.5068128946096024</v>
      </c>
      <c r="AQ124" s="19">
        <v>9.9673122754730406E-2</v>
      </c>
    </row>
    <row r="125" spans="1:43">
      <c r="A125" s="4">
        <v>203</v>
      </c>
      <c r="B125" s="5" t="s">
        <v>289</v>
      </c>
      <c r="C125" s="13"/>
      <c r="D125" s="22" t="s">
        <v>290</v>
      </c>
      <c r="E125" s="5" t="s">
        <v>44</v>
      </c>
      <c r="F125" s="23">
        <v>1999</v>
      </c>
      <c r="G125" s="24">
        <v>42.222204859999998</v>
      </c>
      <c r="H125" s="24">
        <v>-83.105532089999997</v>
      </c>
      <c r="I125" s="25"/>
      <c r="J125" s="25"/>
      <c r="L125" s="26">
        <v>6.88</v>
      </c>
      <c r="M125" s="17">
        <f t="shared" si="3"/>
        <v>1</v>
      </c>
      <c r="N125" s="1">
        <v>195</v>
      </c>
      <c r="O125" s="18">
        <v>74</v>
      </c>
      <c r="P125" s="19">
        <v>2.9781956296816516</v>
      </c>
      <c r="Q125" s="20">
        <v>6.8800000000000017</v>
      </c>
      <c r="R125" s="19">
        <v>1.8416743905616102</v>
      </c>
      <c r="S125" s="19">
        <v>0.45072060763965666</v>
      </c>
      <c r="T125" s="19">
        <v>1.6730799099084637</v>
      </c>
      <c r="U125" s="19">
        <v>2.6626936015287805</v>
      </c>
      <c r="V125" s="19">
        <v>1.1482964567482006</v>
      </c>
      <c r="W125" s="19">
        <v>2.911475599525208</v>
      </c>
      <c r="X125" s="19">
        <v>4.9446601372249948</v>
      </c>
      <c r="Y125" s="19">
        <v>14.79580663495255</v>
      </c>
      <c r="Z125" s="19">
        <v>2.4530015383705948</v>
      </c>
      <c r="AA125" s="19">
        <v>3.7505195598926458E-4</v>
      </c>
      <c r="AB125" s="19">
        <v>15.432496309613034</v>
      </c>
      <c r="AC125" s="19">
        <v>1.2556863487605086</v>
      </c>
      <c r="AD125" s="19">
        <v>3.7453301130474426</v>
      </c>
      <c r="AE125" s="19">
        <v>5.4885542027659193</v>
      </c>
      <c r="AF125" s="19">
        <v>5.8950737958220385</v>
      </c>
      <c r="AG125" s="19">
        <v>14.842841584341725</v>
      </c>
      <c r="AH125" s="19">
        <v>12.669249608697282</v>
      </c>
      <c r="AI125" s="19">
        <v>14.251329629433124</v>
      </c>
      <c r="AJ125" s="19">
        <v>8.9498351207688298</v>
      </c>
      <c r="AK125" s="19">
        <v>7.8842298140332412</v>
      </c>
      <c r="AL125" s="19">
        <v>5.4421495005330325</v>
      </c>
      <c r="AM125" s="19">
        <v>4.7779645557015851</v>
      </c>
      <c r="AN125" s="19">
        <v>1.5155220435755214</v>
      </c>
      <c r="AO125" s="19">
        <v>6.1060202569163922</v>
      </c>
      <c r="AP125" s="19">
        <v>7.4188502961520273</v>
      </c>
      <c r="AQ125" s="19">
        <v>0.57050342064140647</v>
      </c>
    </row>
    <row r="126" spans="1:43">
      <c r="A126" s="21">
        <v>204</v>
      </c>
      <c r="B126" s="5" t="s">
        <v>291</v>
      </c>
      <c r="C126" s="13" t="s">
        <v>292</v>
      </c>
      <c r="D126" s="22" t="s">
        <v>292</v>
      </c>
      <c r="E126" s="5" t="s">
        <v>44</v>
      </c>
      <c r="F126" s="23">
        <v>1999</v>
      </c>
      <c r="G126" s="24">
        <v>42.242662330000002</v>
      </c>
      <c r="H126" s="24">
        <v>-83.133918969999996</v>
      </c>
      <c r="I126" s="25"/>
      <c r="J126" s="25"/>
      <c r="L126" s="26">
        <v>2.81</v>
      </c>
      <c r="M126" s="17">
        <f t="shared" si="3"/>
        <v>1</v>
      </c>
      <c r="N126" s="1">
        <v>249</v>
      </c>
      <c r="O126" s="18">
        <v>75</v>
      </c>
      <c r="P126" s="19">
        <v>1.9297909977185974</v>
      </c>
      <c r="Q126" s="20">
        <v>2.81</v>
      </c>
      <c r="R126" s="19">
        <v>0.55153473500068828</v>
      </c>
      <c r="S126" s="19">
        <v>0.94503173361213588</v>
      </c>
      <c r="T126" s="19">
        <v>0.70724104753683403</v>
      </c>
      <c r="U126" s="19">
        <v>0.84340095505805801</v>
      </c>
      <c r="V126" s="19">
        <v>4.1242982231881338E-2</v>
      </c>
      <c r="W126" s="19">
        <v>2.2179551904378387</v>
      </c>
      <c r="X126" s="19">
        <v>7.4104185884408817</v>
      </c>
      <c r="Y126" s="19">
        <v>12.1935364092262</v>
      </c>
      <c r="Z126" s="19">
        <v>2.5508193283043097</v>
      </c>
      <c r="AA126" s="19">
        <v>5.7696263152051458E-4</v>
      </c>
      <c r="AB126" s="19">
        <v>14.19468579842593</v>
      </c>
      <c r="AC126" s="19">
        <v>2.1252598074641238</v>
      </c>
      <c r="AD126" s="19">
        <v>3.5887482962582347</v>
      </c>
      <c r="AE126" s="19">
        <v>6.6762685232814345</v>
      </c>
      <c r="AF126" s="19">
        <v>7.5972466760371349</v>
      </c>
      <c r="AG126" s="19">
        <v>2.4523731237014032E-4</v>
      </c>
      <c r="AH126" s="19">
        <v>7.4000369558757884</v>
      </c>
      <c r="AI126" s="19">
        <v>12.488586268872604</v>
      </c>
      <c r="AJ126" s="19">
        <v>10.124617427325221</v>
      </c>
      <c r="AK126" s="19">
        <v>6.7952594710928844</v>
      </c>
      <c r="AL126" s="19">
        <v>5.8518998701568217</v>
      </c>
      <c r="AM126" s="19">
        <v>6.4571178648728154</v>
      </c>
      <c r="AN126" s="19">
        <v>2.2853537570511548</v>
      </c>
      <c r="AO126" s="19">
        <v>5.9178220564520645</v>
      </c>
      <c r="AP126" s="19">
        <v>8.6987306516203624</v>
      </c>
      <c r="AQ126" s="19">
        <v>0.24961719572696711</v>
      </c>
    </row>
    <row r="127" spans="1:43">
      <c r="A127" s="4">
        <v>205</v>
      </c>
      <c r="B127" s="5" t="s">
        <v>293</v>
      </c>
      <c r="C127" s="13"/>
      <c r="D127" s="22" t="s">
        <v>294</v>
      </c>
      <c r="E127" s="5" t="s">
        <v>44</v>
      </c>
      <c r="F127" s="23">
        <v>1999</v>
      </c>
      <c r="G127" s="24">
        <v>42.246443460000002</v>
      </c>
      <c r="H127" s="24">
        <v>-83.130119320000006</v>
      </c>
      <c r="I127" s="25"/>
      <c r="J127" s="25"/>
      <c r="L127" s="26">
        <v>8.2166666666666668</v>
      </c>
      <c r="M127" s="17">
        <f t="shared" si="3"/>
        <v>1</v>
      </c>
      <c r="N127" s="1">
        <v>245</v>
      </c>
      <c r="O127" s="18">
        <v>76</v>
      </c>
      <c r="P127" s="19">
        <v>3.2042450746261886</v>
      </c>
      <c r="Q127" s="20">
        <v>8.2166666666666668</v>
      </c>
      <c r="R127" s="19">
        <v>1.5748857831329939</v>
      </c>
      <c r="S127" s="19">
        <v>1.5932186048940333</v>
      </c>
      <c r="T127" s="19">
        <v>1.3108418035409308</v>
      </c>
      <c r="U127" s="19">
        <v>2.2278300105942326</v>
      </c>
      <c r="V127" s="19">
        <v>1.0806469272653281</v>
      </c>
      <c r="W127" s="19">
        <v>4.710725687780938</v>
      </c>
      <c r="X127" s="19">
        <v>9.1928049292887888</v>
      </c>
      <c r="Y127" s="19">
        <v>13.947944669062172</v>
      </c>
      <c r="Z127" s="19">
        <v>2.6993911472331926</v>
      </c>
      <c r="AA127" s="19">
        <v>7.3558691213057505E-4</v>
      </c>
      <c r="AB127" s="19">
        <v>15.488326495542854</v>
      </c>
      <c r="AC127" s="19">
        <v>2.311918865936812</v>
      </c>
      <c r="AD127" s="19">
        <v>3.644130673233577</v>
      </c>
      <c r="AE127" s="19">
        <v>6.6358845238656796</v>
      </c>
      <c r="AF127" s="19">
        <v>7.0777994180310166</v>
      </c>
      <c r="AG127" s="19">
        <v>15.792875253071978</v>
      </c>
      <c r="AH127" s="19">
        <v>11.713520106161473</v>
      </c>
      <c r="AI127" s="19">
        <v>14.125189325928172</v>
      </c>
      <c r="AJ127" s="19">
        <v>9.647370445759412</v>
      </c>
      <c r="AK127" s="19">
        <v>8.040713386795753</v>
      </c>
      <c r="AL127" s="19">
        <v>5.9212053446452364</v>
      </c>
      <c r="AM127" s="19">
        <v>6.6938771615605406</v>
      </c>
      <c r="AN127" s="19">
        <v>2.2238589986732387</v>
      </c>
      <c r="AO127" s="19">
        <v>5.8021894375789111</v>
      </c>
      <c r="AP127" s="19">
        <v>9.1020399895592785</v>
      </c>
      <c r="AQ127" s="19">
        <v>0.64930111625169706</v>
      </c>
    </row>
    <row r="128" spans="1:43">
      <c r="A128" s="21">
        <v>206</v>
      </c>
      <c r="B128" s="5" t="s">
        <v>295</v>
      </c>
      <c r="C128" s="13" t="s">
        <v>296</v>
      </c>
      <c r="D128" s="22" t="s">
        <v>296</v>
      </c>
      <c r="E128" s="5" t="s">
        <v>44</v>
      </c>
      <c r="F128" s="23">
        <v>1999</v>
      </c>
      <c r="G128" s="24">
        <v>42.22897914</v>
      </c>
      <c r="H128" s="24">
        <v>-83.142303580000004</v>
      </c>
      <c r="I128" s="25"/>
      <c r="J128" s="25"/>
      <c r="L128" s="26">
        <v>4.4800000000000004</v>
      </c>
      <c r="M128" s="17">
        <f t="shared" si="3"/>
        <v>1</v>
      </c>
      <c r="N128" s="1">
        <v>228</v>
      </c>
      <c r="O128" s="18">
        <v>77</v>
      </c>
      <c r="P128" s="19">
        <v>2.454175893185802</v>
      </c>
      <c r="Q128" s="20">
        <v>4.4799999999999995</v>
      </c>
      <c r="R128" s="19">
        <v>0.80213547676016805</v>
      </c>
      <c r="S128" s="19">
        <v>0.44537184746299419</v>
      </c>
      <c r="T128" s="19">
        <v>0.70896060120939497</v>
      </c>
      <c r="U128" s="19">
        <v>1.4035247944474898</v>
      </c>
      <c r="V128" s="19">
        <v>2.7154051503726649E-2</v>
      </c>
      <c r="W128" s="19">
        <v>2.3208977617212057</v>
      </c>
      <c r="X128" s="19">
        <v>6.2976311224328274</v>
      </c>
      <c r="Y128" s="19">
        <v>11.886088239650014</v>
      </c>
      <c r="Z128" s="19">
        <v>1.5136571494981461</v>
      </c>
      <c r="AA128" s="19">
        <v>1.8753816559884771E-4</v>
      </c>
      <c r="AB128" s="19">
        <v>13.782080020435652</v>
      </c>
      <c r="AC128" s="19">
        <v>1.6986555997298953</v>
      </c>
      <c r="AD128" s="19">
        <v>2.5889886611318951</v>
      </c>
      <c r="AE128" s="19">
        <v>4.1174837007508076</v>
      </c>
      <c r="AF128" s="19">
        <v>4.878469292594052</v>
      </c>
      <c r="AG128" s="19">
        <v>13.760912265914449</v>
      </c>
      <c r="AH128" s="19">
        <v>9.3402043946306552</v>
      </c>
      <c r="AI128" s="19">
        <v>12.9415870013808</v>
      </c>
      <c r="AJ128" s="19">
        <v>7.153726683289392</v>
      </c>
      <c r="AK128" s="19">
        <v>6.4355399211323974</v>
      </c>
      <c r="AL128" s="19">
        <v>3.9198626764423636</v>
      </c>
      <c r="AM128" s="19">
        <v>4.9954380964788347</v>
      </c>
      <c r="AN128" s="19">
        <v>1.044021074347196</v>
      </c>
      <c r="AO128" s="19">
        <v>4.1367886035622234</v>
      </c>
      <c r="AP128" s="19">
        <v>5.9477221370687472</v>
      </c>
      <c r="AQ128" s="19">
        <v>0.20490091192566867</v>
      </c>
    </row>
    <row r="129" spans="1:43">
      <c r="A129" s="4">
        <v>207</v>
      </c>
      <c r="B129" s="5" t="s">
        <v>297</v>
      </c>
      <c r="C129" s="13" t="s">
        <v>298</v>
      </c>
      <c r="D129" s="22" t="s">
        <v>298</v>
      </c>
      <c r="E129" s="5" t="s">
        <v>44</v>
      </c>
      <c r="F129" s="23">
        <v>1999</v>
      </c>
      <c r="G129" s="24">
        <v>42.23040769</v>
      </c>
      <c r="H129" s="24">
        <v>-83.136220339999994</v>
      </c>
      <c r="I129" s="25"/>
      <c r="J129" s="25"/>
      <c r="L129" s="26">
        <v>2.35</v>
      </c>
      <c r="M129" s="17">
        <f t="shared" si="3"/>
        <v>1</v>
      </c>
      <c r="N129" s="1">
        <v>198</v>
      </c>
      <c r="O129" s="18">
        <v>78</v>
      </c>
      <c r="P129" s="19">
        <v>1.7441610955704101</v>
      </c>
      <c r="Q129" s="20">
        <v>2.35</v>
      </c>
      <c r="R129" s="19">
        <v>1.0232423723107422</v>
      </c>
      <c r="S129" s="19">
        <v>0.46529122946930052</v>
      </c>
      <c r="T129" s="19">
        <v>0.93840906007809044</v>
      </c>
      <c r="U129" s="19">
        <v>1.633087599944465</v>
      </c>
      <c r="V129" s="19">
        <v>3.9840264531791098E-2</v>
      </c>
      <c r="W129" s="19">
        <v>1.666971176560188</v>
      </c>
      <c r="X129" s="19">
        <v>5.4981559045608623</v>
      </c>
      <c r="Y129" s="19">
        <v>13.033915325757455</v>
      </c>
      <c r="Z129" s="19">
        <v>2.1697955379990383</v>
      </c>
      <c r="AA129" s="19">
        <v>6.6348712846603841E-4</v>
      </c>
      <c r="AB129" s="19">
        <v>14.747479015045728</v>
      </c>
      <c r="AC129" s="19">
        <v>1.07493644825373</v>
      </c>
      <c r="AD129" s="19">
        <v>3.0177692667936706</v>
      </c>
      <c r="AE129" s="19">
        <v>4.481751848190652</v>
      </c>
      <c r="AF129" s="19">
        <v>5.2621509495079746</v>
      </c>
      <c r="AG129" s="19">
        <v>14.178223311015159</v>
      </c>
      <c r="AH129" s="19">
        <v>10.991551339015023</v>
      </c>
      <c r="AI129" s="19">
        <v>13.848232405266211</v>
      </c>
      <c r="AJ129" s="19">
        <v>8.1291988043440107</v>
      </c>
      <c r="AK129" s="19">
        <v>7.1501616662459471</v>
      </c>
      <c r="AL129" s="19">
        <v>4.4230783150686444</v>
      </c>
      <c r="AM129" s="19">
        <v>4.2355115514855344</v>
      </c>
      <c r="AN129" s="19">
        <v>1.0699315402034257</v>
      </c>
      <c r="AO129" s="19">
        <v>4.8734107111005436</v>
      </c>
      <c r="AP129" s="19">
        <v>6.3727048119862308</v>
      </c>
      <c r="AQ129" s="19">
        <v>0.3140795826199631</v>
      </c>
    </row>
    <row r="130" spans="1:43">
      <c r="A130" s="21">
        <v>208</v>
      </c>
      <c r="B130" s="5" t="s">
        <v>299</v>
      </c>
      <c r="C130" s="13" t="s">
        <v>300</v>
      </c>
      <c r="D130" s="22" t="s">
        <v>300</v>
      </c>
      <c r="E130" s="5" t="s">
        <v>44</v>
      </c>
      <c r="F130" s="23">
        <v>1999</v>
      </c>
      <c r="G130" s="24">
        <v>42.23835553</v>
      </c>
      <c r="H130" s="24">
        <v>-83.144147880000006</v>
      </c>
      <c r="I130" s="25"/>
      <c r="J130" s="25"/>
      <c r="L130" s="26">
        <v>7.43</v>
      </c>
      <c r="M130" s="17">
        <f t="shared" si="3"/>
        <v>1</v>
      </c>
      <c r="N130" s="1">
        <v>243</v>
      </c>
      <c r="O130" s="18">
        <v>79</v>
      </c>
      <c r="P130" s="19">
        <v>3.0755326311673574</v>
      </c>
      <c r="Q130" s="20">
        <v>7.43</v>
      </c>
      <c r="R130" s="19">
        <v>1.4365685920633366</v>
      </c>
      <c r="S130" s="19">
        <v>1.2389876796916106</v>
      </c>
      <c r="T130" s="19">
        <v>1.3322747871379197</v>
      </c>
      <c r="U130" s="19">
        <v>2.3888837193325427</v>
      </c>
      <c r="V130" s="19">
        <v>0.80071647093166831</v>
      </c>
      <c r="W130" s="19">
        <v>4.0114314239467133</v>
      </c>
      <c r="X130" s="19">
        <v>8.924133316607497</v>
      </c>
      <c r="Y130" s="19">
        <v>12.795928202969401</v>
      </c>
      <c r="Z130" s="19">
        <v>2.2990265082921839</v>
      </c>
      <c r="AA130" s="19">
        <v>5.192767505119931E-4</v>
      </c>
      <c r="AB130" s="19">
        <v>15.371387015601451</v>
      </c>
      <c r="AC130" s="19">
        <v>2.0795028808597436</v>
      </c>
      <c r="AD130" s="19">
        <v>3.2446292914211252</v>
      </c>
      <c r="AE130" s="19">
        <v>6.2997201734780246</v>
      </c>
      <c r="AF130" s="19">
        <v>6.8081280299541005</v>
      </c>
      <c r="AG130" s="19">
        <v>15.725528457983302</v>
      </c>
      <c r="AH130" s="19">
        <v>10.408776772893363</v>
      </c>
      <c r="AI130" s="19">
        <v>14.001282918565696</v>
      </c>
      <c r="AJ130" s="19">
        <v>9.163798341412857</v>
      </c>
      <c r="AK130" s="19">
        <v>7.0096838291605019</v>
      </c>
      <c r="AL130" s="19">
        <v>5.5119930747039172</v>
      </c>
      <c r="AM130" s="19">
        <v>6.4425614001827745</v>
      </c>
      <c r="AN130" s="19">
        <v>1.9952777139851101</v>
      </c>
      <c r="AO130" s="19">
        <v>5.2234830483218992</v>
      </c>
      <c r="AP130" s="19">
        <v>8.5345359653144541</v>
      </c>
      <c r="AQ130" s="19">
        <v>0.51064705140258448</v>
      </c>
    </row>
    <row r="131" spans="1:43">
      <c r="A131" s="4">
        <v>209</v>
      </c>
      <c r="B131" s="5" t="s">
        <v>301</v>
      </c>
      <c r="C131" s="13" t="s">
        <v>302</v>
      </c>
      <c r="D131" s="22" t="s">
        <v>302</v>
      </c>
      <c r="E131" s="5" t="s">
        <v>44</v>
      </c>
      <c r="F131" s="23">
        <v>1999</v>
      </c>
      <c r="G131" s="24">
        <v>42.237515070000001</v>
      </c>
      <c r="H131" s="24">
        <v>-83.139974679999995</v>
      </c>
      <c r="I131" s="25"/>
      <c r="J131" s="25"/>
      <c r="L131" s="26">
        <v>2.4300000000000002</v>
      </c>
      <c r="M131" s="17">
        <f t="shared" si="3"/>
        <v>1</v>
      </c>
      <c r="N131" s="1">
        <v>237</v>
      </c>
      <c r="O131" s="18">
        <v>80</v>
      </c>
      <c r="P131" s="19">
        <v>1.7782085763980877</v>
      </c>
      <c r="Q131" s="20">
        <v>2.4300000000000002</v>
      </c>
      <c r="R131" s="19">
        <v>0.88160768756060703</v>
      </c>
      <c r="S131" s="19">
        <v>0.28331673005489449</v>
      </c>
      <c r="T131" s="19">
        <v>0.73502734177319218</v>
      </c>
      <c r="U131" s="19">
        <v>1.5732470156937006</v>
      </c>
      <c r="V131" s="19">
        <v>7.1955014042037659E-3</v>
      </c>
      <c r="W131" s="19">
        <v>1.9389201082306786</v>
      </c>
      <c r="X131" s="19">
        <v>5.8866271090405711</v>
      </c>
      <c r="Y131" s="19">
        <v>12.287337434627721</v>
      </c>
      <c r="Z131" s="19">
        <v>2.4592972061884586</v>
      </c>
      <c r="AA131" s="19">
        <v>0.88292887370194517</v>
      </c>
      <c r="AB131" s="19">
        <v>15.092999432168629</v>
      </c>
      <c r="AC131" s="19">
        <v>2.1056587152324115</v>
      </c>
      <c r="AD131" s="19">
        <v>3.228645751430105</v>
      </c>
      <c r="AE131" s="19">
        <v>6.0088568405395506</v>
      </c>
      <c r="AF131" s="19">
        <v>6.6418474898055999</v>
      </c>
      <c r="AG131" s="19">
        <v>15.603115458279781</v>
      </c>
      <c r="AH131" s="19">
        <v>9.4765800109404328</v>
      </c>
      <c r="AI131" s="19">
        <v>13.443174593761734</v>
      </c>
      <c r="AJ131" s="19">
        <v>9.4219625024880838</v>
      </c>
      <c r="AK131" s="19">
        <v>7.0577700694170327</v>
      </c>
      <c r="AL131" s="19">
        <v>5.5264373919455583</v>
      </c>
      <c r="AM131" s="19">
        <v>6.3590776023601059</v>
      </c>
      <c r="AN131" s="19">
        <v>2.0853095926255736</v>
      </c>
      <c r="AO131" s="19">
        <v>4.8826215527428687</v>
      </c>
      <c r="AP131" s="19">
        <v>8.5908393186595209</v>
      </c>
      <c r="AQ131" s="19">
        <v>0.49561338200752153</v>
      </c>
    </row>
    <row r="132" spans="1:43">
      <c r="A132" s="4">
        <v>21</v>
      </c>
      <c r="B132" s="5" t="s">
        <v>303</v>
      </c>
      <c r="C132" s="13" t="s">
        <v>304</v>
      </c>
      <c r="D132" s="22" t="s">
        <v>304</v>
      </c>
      <c r="E132" s="5" t="s">
        <v>44</v>
      </c>
      <c r="F132" s="23">
        <v>1999</v>
      </c>
      <c r="G132" s="24">
        <v>42.341819370000003</v>
      </c>
      <c r="H132" s="24">
        <v>-82.990738190000002</v>
      </c>
      <c r="I132" s="25"/>
      <c r="J132" s="25"/>
      <c r="L132" s="26">
        <v>1.1299999999999999</v>
      </c>
      <c r="M132" s="17">
        <f t="shared" si="3"/>
        <v>1</v>
      </c>
      <c r="N132" s="1">
        <v>71</v>
      </c>
      <c r="O132" s="18">
        <v>12</v>
      </c>
      <c r="P132" s="19">
        <v>1.0908534304511135</v>
      </c>
      <c r="Q132" s="20">
        <v>1.1299999999999999</v>
      </c>
      <c r="R132" s="19">
        <v>0.71568698061626634</v>
      </c>
      <c r="S132" s="19">
        <v>0.2219684313564155</v>
      </c>
      <c r="T132" s="19">
        <v>0.78004043894714736</v>
      </c>
      <c r="U132" s="19">
        <v>1.4170699877590149</v>
      </c>
      <c r="V132" s="19">
        <v>0.51777215405120014</v>
      </c>
      <c r="W132" s="19">
        <v>0.97584079060754791</v>
      </c>
      <c r="X132" s="19">
        <v>2.525832099668841</v>
      </c>
      <c r="Y132" s="19">
        <v>12.09695168182013</v>
      </c>
      <c r="Z132" s="19">
        <v>4.2750795209608983</v>
      </c>
      <c r="AA132" s="19">
        <v>5.3156440790778818</v>
      </c>
      <c r="AB132" s="19">
        <v>14.590641194968383</v>
      </c>
      <c r="AC132" s="19">
        <v>0.95104312639847255</v>
      </c>
      <c r="AD132" s="19">
        <v>2.3843056325892484</v>
      </c>
      <c r="AE132" s="19">
        <v>3.3217522414519784</v>
      </c>
      <c r="AF132" s="19">
        <v>3.8550789954033582</v>
      </c>
      <c r="AG132" s="19">
        <v>12.780359769856034</v>
      </c>
      <c r="AH132" s="19">
        <v>9.966578769206377</v>
      </c>
      <c r="AI132" s="19">
        <v>13.463533016405805</v>
      </c>
      <c r="AJ132" s="19">
        <v>7.0283848929390427</v>
      </c>
      <c r="AK132" s="19">
        <v>6.2713789825638582</v>
      </c>
      <c r="AL132" s="19">
        <v>3.5123252635074445</v>
      </c>
      <c r="AM132" s="19">
        <v>2.3953339205756552</v>
      </c>
      <c r="AN132" s="19">
        <v>4.1126274336559652</v>
      </c>
      <c r="AO132" s="19">
        <v>3.8958795873621974</v>
      </c>
      <c r="AP132" s="19">
        <v>4.6153522758305963</v>
      </c>
      <c r="AQ132" s="19">
        <v>0.12751944956783143</v>
      </c>
    </row>
    <row r="133" spans="1:43">
      <c r="A133" s="21">
        <v>210</v>
      </c>
      <c r="B133" s="5" t="s">
        <v>305</v>
      </c>
      <c r="C133" s="13" t="s">
        <v>306</v>
      </c>
      <c r="D133" s="22" t="s">
        <v>306</v>
      </c>
      <c r="E133" s="5" t="s">
        <v>44</v>
      </c>
      <c r="F133" s="23">
        <v>1999</v>
      </c>
      <c r="G133" s="24">
        <v>42.193756759999999</v>
      </c>
      <c r="H133" s="24">
        <v>-83.104986819999993</v>
      </c>
      <c r="I133" s="25"/>
      <c r="J133" s="25"/>
      <c r="L133" s="26">
        <v>6.35</v>
      </c>
      <c r="M133" s="17">
        <f t="shared" si="3"/>
        <v>1</v>
      </c>
      <c r="N133" s="1">
        <v>177</v>
      </c>
      <c r="O133" s="18">
        <v>81</v>
      </c>
      <c r="P133" s="19">
        <v>2.8777442499490022</v>
      </c>
      <c r="Q133" s="20">
        <v>6.3500000000000005</v>
      </c>
      <c r="R133" s="19">
        <v>1.6720276301153776</v>
      </c>
      <c r="S133" s="19">
        <v>0.55223396450544471</v>
      </c>
      <c r="T133" s="19">
        <v>1.3030935120170482</v>
      </c>
      <c r="U133" s="19">
        <v>2.3556936944862508</v>
      </c>
      <c r="V133" s="19">
        <v>0.95816658374581976</v>
      </c>
      <c r="W133" s="19">
        <v>1.7613117382936456</v>
      </c>
      <c r="X133" s="19">
        <v>4.6122554001392349</v>
      </c>
      <c r="Y133" s="19">
        <v>14.394945041688736</v>
      </c>
      <c r="Z133" s="19">
        <v>5.5083835183783121</v>
      </c>
      <c r="AA133" s="19">
        <v>6.6849077100207053</v>
      </c>
      <c r="AB133" s="19">
        <v>15.846467914310564</v>
      </c>
      <c r="AC133" s="19">
        <v>2.052272796895271</v>
      </c>
      <c r="AD133" s="19">
        <v>3.5030784479996333</v>
      </c>
      <c r="AE133" s="19">
        <v>5.1911686411193951</v>
      </c>
      <c r="AF133" s="19">
        <v>5.293614520599716</v>
      </c>
      <c r="AG133" s="19">
        <v>14.483290397711409</v>
      </c>
      <c r="AH133" s="19">
        <v>12.092618667212612</v>
      </c>
      <c r="AI133" s="19">
        <v>14.237322117094189</v>
      </c>
      <c r="AJ133" s="19">
        <v>8.554232556232984</v>
      </c>
      <c r="AK133" s="19">
        <v>7.9741553340551699</v>
      </c>
      <c r="AL133" s="19">
        <v>5.1399181431086181</v>
      </c>
      <c r="AM133" s="19">
        <v>4.6830100096627234</v>
      </c>
      <c r="AN133" s="19">
        <v>5.5687552500472277</v>
      </c>
      <c r="AO133" s="19">
        <v>5.6272865572972073</v>
      </c>
      <c r="AP133" s="19">
        <v>7.1093014217054709</v>
      </c>
      <c r="AQ133" s="19">
        <v>0.47739987555277319</v>
      </c>
    </row>
    <row r="134" spans="1:43">
      <c r="A134" s="4">
        <v>211</v>
      </c>
      <c r="B134" s="5" t="s">
        <v>307</v>
      </c>
      <c r="C134" s="13" t="s">
        <v>308</v>
      </c>
      <c r="D134" s="22" t="s">
        <v>308</v>
      </c>
      <c r="E134" s="5" t="s">
        <v>44</v>
      </c>
      <c r="F134" s="23">
        <v>1999</v>
      </c>
      <c r="G134" s="24">
        <v>42.149596850000002</v>
      </c>
      <c r="H134" s="24">
        <v>-83.115491629999994</v>
      </c>
      <c r="I134" s="25"/>
      <c r="J134" s="25"/>
      <c r="L134" s="26">
        <v>5.93</v>
      </c>
      <c r="M134" s="17">
        <f t="shared" si="3"/>
        <v>1</v>
      </c>
      <c r="N134" s="1">
        <v>72</v>
      </c>
      <c r="O134" s="18">
        <v>82</v>
      </c>
      <c r="P134" s="19">
        <v>2.7928553523624888</v>
      </c>
      <c r="Q134" s="20">
        <v>5.9299999999999988</v>
      </c>
      <c r="R134" s="19">
        <v>0.22074896583557324</v>
      </c>
      <c r="S134" s="19">
        <v>3.2806145083241478E-2</v>
      </c>
      <c r="T134" s="19">
        <v>0.21242184788147009</v>
      </c>
      <c r="U134" s="19">
        <v>0.43114497080689423</v>
      </c>
      <c r="V134" s="19">
        <v>2.8569152196770919E-2</v>
      </c>
      <c r="W134" s="19">
        <v>0.20089763581118225</v>
      </c>
      <c r="X134" s="19">
        <v>0.77113770549854166</v>
      </c>
      <c r="Y134" s="19">
        <v>13.547296826182178</v>
      </c>
      <c r="Z134" s="19">
        <v>4.8760306817794916</v>
      </c>
      <c r="AA134" s="19">
        <v>5.9731359987769554</v>
      </c>
      <c r="AB134" s="19">
        <v>14.957143203003879</v>
      </c>
      <c r="AC134" s="19">
        <v>1.4733004254589122</v>
      </c>
      <c r="AD134" s="19">
        <v>3.0863042420509403</v>
      </c>
      <c r="AE134" s="19">
        <v>4.318534971290461</v>
      </c>
      <c r="AF134" s="19">
        <v>4.8816361446791827</v>
      </c>
      <c r="AG134" s="19">
        <v>13.753178862298935</v>
      </c>
      <c r="AH134" s="19">
        <v>11.08566863570238</v>
      </c>
      <c r="AI134" s="19">
        <v>14.09444403110578</v>
      </c>
      <c r="AJ134" s="19">
        <v>7.5306513163837066</v>
      </c>
      <c r="AK134" s="19">
        <v>8.2022171559514234</v>
      </c>
      <c r="AL134" s="19">
        <v>4.523202074862855</v>
      </c>
      <c r="AM134" s="19">
        <v>2.9654243090595438</v>
      </c>
      <c r="AN134" s="19">
        <v>4.7639686431030199</v>
      </c>
      <c r="AO134" s="19">
        <v>4.8803304130607197</v>
      </c>
      <c r="AP134" s="19">
        <v>5.5068948026061495</v>
      </c>
      <c r="AQ134" s="19">
        <v>9.4541987415224168E-2</v>
      </c>
    </row>
    <row r="135" spans="1:43">
      <c r="A135" s="21">
        <v>212</v>
      </c>
      <c r="B135" s="5" t="s">
        <v>309</v>
      </c>
      <c r="C135" s="13" t="s">
        <v>310</v>
      </c>
      <c r="D135" s="22" t="s">
        <v>310</v>
      </c>
      <c r="E135" s="5" t="s">
        <v>44</v>
      </c>
      <c r="F135" s="23">
        <v>1999</v>
      </c>
      <c r="G135" s="24">
        <v>42.154281470000001</v>
      </c>
      <c r="H135" s="24">
        <v>-83.123187990000005</v>
      </c>
      <c r="I135" s="25"/>
      <c r="J135" s="25"/>
      <c r="L135" s="26">
        <v>1.97</v>
      </c>
      <c r="M135" s="17">
        <f t="shared" si="3"/>
        <v>1</v>
      </c>
      <c r="N135" s="1">
        <v>107</v>
      </c>
      <c r="O135" s="18">
        <v>83</v>
      </c>
      <c r="P135" s="19">
        <v>1.570462931026041</v>
      </c>
      <c r="Q135" s="20">
        <v>1.9699999999999998</v>
      </c>
      <c r="R135" s="19">
        <v>0.94515850535287982</v>
      </c>
      <c r="S135" s="19">
        <v>0.28099218090151984</v>
      </c>
      <c r="T135" s="19">
        <v>1.1456498972561644</v>
      </c>
      <c r="U135" s="19">
        <v>1.8464811560096919</v>
      </c>
      <c r="V135" s="19">
        <v>0.45860748731976941</v>
      </c>
      <c r="W135" s="19">
        <v>1.0303892967642816</v>
      </c>
      <c r="X135" s="19">
        <v>3.569460546658243</v>
      </c>
      <c r="Y135" s="19">
        <v>12.387470951285211</v>
      </c>
      <c r="Z135" s="19">
        <v>5.0616788070227843</v>
      </c>
      <c r="AA135" s="19">
        <v>6.0974570391579999</v>
      </c>
      <c r="AB135" s="19">
        <v>15.433420342007985</v>
      </c>
      <c r="AC135" s="19">
        <v>1.5797915837093557</v>
      </c>
      <c r="AD135" s="19">
        <v>2.7577496193145672</v>
      </c>
      <c r="AE135" s="19">
        <v>3.8390410964677133</v>
      </c>
      <c r="AF135" s="19">
        <v>4.1608614125199166</v>
      </c>
      <c r="AG135" s="19">
        <v>13.941719268297748</v>
      </c>
      <c r="AH135" s="19">
        <v>9.7369548902967811</v>
      </c>
      <c r="AI135" s="19">
        <v>13.636792332549868</v>
      </c>
      <c r="AJ135" s="19">
        <v>8.0719952825896168</v>
      </c>
      <c r="AK135" s="19">
        <v>7.4945258598543889</v>
      </c>
      <c r="AL135" s="19">
        <v>3.9854165913324802</v>
      </c>
      <c r="AM135" s="19">
        <v>3.9323420426905979</v>
      </c>
      <c r="AN135" s="19">
        <v>4.9479538980810753</v>
      </c>
      <c r="AO135" s="19">
        <v>4.8034710149340949</v>
      </c>
      <c r="AP135" s="19">
        <v>5.9511681183839684</v>
      </c>
      <c r="AQ135" s="19">
        <v>0.15396684663605922</v>
      </c>
    </row>
    <row r="136" spans="1:43">
      <c r="A136" s="4">
        <v>213</v>
      </c>
      <c r="B136" s="5" t="s">
        <v>311</v>
      </c>
      <c r="C136" s="13" t="s">
        <v>312</v>
      </c>
      <c r="D136" s="22" t="s">
        <v>312</v>
      </c>
      <c r="E136" s="5" t="s">
        <v>44</v>
      </c>
      <c r="F136" s="23">
        <v>1999</v>
      </c>
      <c r="G136" s="24">
        <v>42.162028599999999</v>
      </c>
      <c r="H136" s="24">
        <v>-83.119670439999993</v>
      </c>
      <c r="I136" s="25"/>
      <c r="J136" s="25"/>
      <c r="L136" s="26">
        <v>4.07</v>
      </c>
      <c r="M136" s="17">
        <f t="shared" si="3"/>
        <v>1</v>
      </c>
      <c r="N136" s="1">
        <v>159</v>
      </c>
      <c r="O136" s="18">
        <v>84</v>
      </c>
      <c r="P136" s="19">
        <v>2.3419857472286161</v>
      </c>
      <c r="Q136" s="20">
        <v>4.07</v>
      </c>
      <c r="R136" s="19">
        <v>1.3627136329001086</v>
      </c>
      <c r="S136" s="19">
        <v>0.31126739593980018</v>
      </c>
      <c r="T136" s="19">
        <v>1.5248009353351375</v>
      </c>
      <c r="U136" s="19">
        <v>2.4930993940316504</v>
      </c>
      <c r="V136" s="19">
        <v>1.0258813093741266</v>
      </c>
      <c r="W136" s="19">
        <v>1.4972910013773113</v>
      </c>
      <c r="X136" s="19">
        <v>4.8529938761089504</v>
      </c>
      <c r="Y136" s="19">
        <v>14.026609529305123</v>
      </c>
      <c r="Z136" s="19">
        <v>5.3918769125417425</v>
      </c>
      <c r="AA136" s="19">
        <v>6.5463347068904429</v>
      </c>
      <c r="AB136" s="19">
        <v>15.578112795175793</v>
      </c>
      <c r="AC136" s="19">
        <v>2.0016540815743329</v>
      </c>
      <c r="AD136" s="19">
        <v>3.412414653251433</v>
      </c>
      <c r="AE136" s="19">
        <v>4.9668774333701249</v>
      </c>
      <c r="AF136" s="19">
        <v>5.015992082068788</v>
      </c>
      <c r="AG136" s="19">
        <v>14.37630897399583</v>
      </c>
      <c r="AH136" s="19">
        <v>11.831077910334445</v>
      </c>
      <c r="AI136" s="19">
        <v>14.383284558444831</v>
      </c>
      <c r="AJ136" s="19">
        <v>8.7541898390610449</v>
      </c>
      <c r="AK136" s="19">
        <v>8.0164528561544728</v>
      </c>
      <c r="AL136" s="19">
        <v>4.9230343520186697</v>
      </c>
      <c r="AM136" s="19">
        <v>4.4074196226394822</v>
      </c>
      <c r="AN136" s="19">
        <v>5.3429256361569211</v>
      </c>
      <c r="AO136" s="19">
        <v>5.3971215468365052</v>
      </c>
      <c r="AP136" s="19">
        <v>6.7115111943281143</v>
      </c>
      <c r="AQ136" s="19">
        <v>0.42816684742743838</v>
      </c>
    </row>
    <row r="137" spans="1:43">
      <c r="A137" s="21">
        <v>214</v>
      </c>
      <c r="B137" s="5" t="s">
        <v>313</v>
      </c>
      <c r="C137" s="13" t="s">
        <v>314</v>
      </c>
      <c r="D137" s="22" t="s">
        <v>314</v>
      </c>
      <c r="E137" s="5" t="s">
        <v>44</v>
      </c>
      <c r="F137" s="23">
        <v>1999</v>
      </c>
      <c r="G137" s="24">
        <v>42.152425800000003</v>
      </c>
      <c r="H137" s="24">
        <v>-83.119325649999993</v>
      </c>
      <c r="I137" s="25"/>
      <c r="J137" s="25"/>
      <c r="L137" s="26">
        <v>2.74</v>
      </c>
      <c r="M137" s="17">
        <f t="shared" si="3"/>
        <v>1</v>
      </c>
      <c r="N137" s="1">
        <v>150</v>
      </c>
      <c r="O137" s="18">
        <v>85</v>
      </c>
      <c r="P137" s="19">
        <v>1.903038270112912</v>
      </c>
      <c r="Q137" s="20">
        <v>2.74</v>
      </c>
      <c r="R137" s="19">
        <v>1.4125002878179638</v>
      </c>
      <c r="S137" s="19">
        <v>0.30442765268534738</v>
      </c>
      <c r="T137" s="19">
        <v>1.2111728993470305</v>
      </c>
      <c r="U137" s="19">
        <v>2.0276861741316217</v>
      </c>
      <c r="V137" s="19">
        <v>1.2058578039294705</v>
      </c>
      <c r="W137" s="19">
        <v>1.3705234054273852</v>
      </c>
      <c r="X137" s="19">
        <v>5.45686867048608</v>
      </c>
      <c r="Y137" s="19">
        <v>12.993214835142625</v>
      </c>
      <c r="Z137" s="19">
        <v>4.8434303760382118</v>
      </c>
      <c r="AA137" s="19">
        <v>5.9690081641122488</v>
      </c>
      <c r="AB137" s="19">
        <v>15.281354060862396</v>
      </c>
      <c r="AC137" s="19">
        <v>1.5449423466367078</v>
      </c>
      <c r="AD137" s="19">
        <v>2.8191405623379615</v>
      </c>
      <c r="AE137" s="19">
        <v>4.402926586149154</v>
      </c>
      <c r="AF137" s="19">
        <v>4.4571940079776251</v>
      </c>
      <c r="AG137" s="19">
        <v>13.791425159146065</v>
      </c>
      <c r="AH137" s="19">
        <v>10.747669304706649</v>
      </c>
      <c r="AI137" s="19">
        <v>14.115248076041546</v>
      </c>
      <c r="AJ137" s="19">
        <v>8.1136092951852579</v>
      </c>
      <c r="AK137" s="19">
        <v>7.6158577576124218</v>
      </c>
      <c r="AL137" s="19">
        <v>4.3087392303330079</v>
      </c>
      <c r="AM137" s="19">
        <v>4.1438013274611452</v>
      </c>
      <c r="AN137" s="19">
        <v>4.8790744453662427</v>
      </c>
      <c r="AO137" s="19">
        <v>4.5581841675177088</v>
      </c>
      <c r="AP137" s="19">
        <v>6.237614924983311</v>
      </c>
      <c r="AQ137" s="19">
        <v>0.37767863038902233</v>
      </c>
    </row>
    <row r="138" spans="1:43">
      <c r="A138" s="4">
        <v>215</v>
      </c>
      <c r="B138" s="5" t="s">
        <v>315</v>
      </c>
      <c r="C138" s="13" t="s">
        <v>316</v>
      </c>
      <c r="D138" s="22" t="s">
        <v>316</v>
      </c>
      <c r="E138" s="5" t="s">
        <v>44</v>
      </c>
      <c r="F138" s="23">
        <v>1999</v>
      </c>
      <c r="G138" s="24">
        <v>42.150644999999997</v>
      </c>
      <c r="H138" s="24">
        <v>-83.118225409999994</v>
      </c>
      <c r="I138" s="25"/>
      <c r="J138" s="25"/>
      <c r="L138" s="26">
        <v>2.73</v>
      </c>
      <c r="M138" s="17">
        <f t="shared" si="3"/>
        <v>1</v>
      </c>
      <c r="N138" s="1">
        <v>190</v>
      </c>
      <c r="O138" s="18">
        <v>86</v>
      </c>
      <c r="P138" s="19">
        <v>1.899175630480513</v>
      </c>
      <c r="Q138" s="20">
        <v>2.73</v>
      </c>
      <c r="R138" s="19">
        <v>3.9260624739152057</v>
      </c>
      <c r="S138" s="19">
        <v>1.7818343960053888</v>
      </c>
      <c r="T138" s="19">
        <v>3.6705513119255229</v>
      </c>
      <c r="U138" s="19">
        <v>5.2489259935697845</v>
      </c>
      <c r="V138" s="19">
        <v>3.053303545978634</v>
      </c>
      <c r="W138" s="19">
        <v>3.7994235284243696</v>
      </c>
      <c r="X138" s="19">
        <v>8.6799042931209378</v>
      </c>
      <c r="Y138" s="19">
        <v>12.852354047948504</v>
      </c>
      <c r="Z138" s="19">
        <v>4.8487006249686875</v>
      </c>
      <c r="AA138" s="19">
        <v>5.9514167915969383</v>
      </c>
      <c r="AB138" s="19">
        <v>15.005446388371629</v>
      </c>
      <c r="AC138" s="19">
        <v>1.4882578895245826</v>
      </c>
      <c r="AD138" s="19">
        <v>2.7774522513820141</v>
      </c>
      <c r="AE138" s="19">
        <v>4.2899737680686805</v>
      </c>
      <c r="AF138" s="19">
        <v>4.2963841904477098</v>
      </c>
      <c r="AG138" s="19">
        <v>13.691646403526876</v>
      </c>
      <c r="AH138" s="19">
        <v>10.437373569062252</v>
      </c>
      <c r="AI138" s="19">
        <v>13.891075506965224</v>
      </c>
      <c r="AJ138" s="19">
        <v>7.9675092004931027</v>
      </c>
      <c r="AK138" s="19">
        <v>7.3856986510005056</v>
      </c>
      <c r="AL138" s="19">
        <v>4.218858831013554</v>
      </c>
      <c r="AM138" s="19">
        <v>3.9529126700271817</v>
      </c>
      <c r="AN138" s="19">
        <v>4.751035866148321</v>
      </c>
      <c r="AO138" s="19">
        <v>4.5441369991519363</v>
      </c>
      <c r="AP138" s="19">
        <v>6.1248836210171822</v>
      </c>
      <c r="AQ138" s="19">
        <v>0.35767127411330574</v>
      </c>
    </row>
    <row r="139" spans="1:43">
      <c r="A139" s="21">
        <v>216</v>
      </c>
      <c r="B139" s="5" t="s">
        <v>317</v>
      </c>
      <c r="C139" s="13" t="s">
        <v>318</v>
      </c>
      <c r="D139" s="22" t="s">
        <v>318</v>
      </c>
      <c r="E139" s="5" t="s">
        <v>44</v>
      </c>
      <c r="F139" s="23">
        <v>1999</v>
      </c>
      <c r="G139" s="24">
        <v>42.196254619999998</v>
      </c>
      <c r="H139" s="24">
        <v>-83.109211790000003</v>
      </c>
      <c r="I139" s="25"/>
      <c r="J139" s="25"/>
      <c r="L139" s="26">
        <v>6.81</v>
      </c>
      <c r="M139" s="17">
        <f t="shared" si="3"/>
        <v>1</v>
      </c>
      <c r="N139" s="1">
        <v>191</v>
      </c>
      <c r="O139" s="18">
        <v>88</v>
      </c>
      <c r="P139" s="19">
        <v>2.9653225483672547</v>
      </c>
      <c r="Q139" s="20">
        <v>6.8100000000000014</v>
      </c>
      <c r="R139" s="19">
        <v>4.4972570297781438</v>
      </c>
      <c r="S139" s="19">
        <v>2.1925172243512181</v>
      </c>
      <c r="T139" s="19">
        <v>4.4552656479386714</v>
      </c>
      <c r="U139" s="19">
        <v>5.5237260621520727</v>
      </c>
      <c r="V139" s="19">
        <v>3.9685009533567448</v>
      </c>
      <c r="W139" s="19">
        <v>4.7192986598270146</v>
      </c>
      <c r="X139" s="19">
        <v>7.0822591774397816</v>
      </c>
      <c r="Y139" s="19">
        <v>14.743241108702742</v>
      </c>
      <c r="Z139" s="19">
        <v>3.0422074771245406</v>
      </c>
      <c r="AA139" s="19">
        <v>1.176727553878123</v>
      </c>
      <c r="AB139" s="19">
        <v>15.95276212130231</v>
      </c>
      <c r="AC139" s="19">
        <v>1.20688165218284</v>
      </c>
      <c r="AD139" s="19">
        <v>3.9530952306997742</v>
      </c>
      <c r="AE139" s="19">
        <v>5.443193790154198</v>
      </c>
      <c r="AF139" s="19">
        <v>5.6998429870223575</v>
      </c>
      <c r="AG139" s="19">
        <v>15.065017385686573</v>
      </c>
      <c r="AH139" s="19">
        <v>12.500105990310047</v>
      </c>
      <c r="AI139" s="19">
        <v>14.687790698934675</v>
      </c>
      <c r="AJ139" s="19">
        <v>9.5965923307671215</v>
      </c>
      <c r="AK139" s="19">
        <v>8.786482034627987</v>
      </c>
      <c r="AL139" s="19">
        <v>5.5994750415683248</v>
      </c>
      <c r="AM139" s="19">
        <v>4.8744112694219943</v>
      </c>
      <c r="AN139" s="19">
        <v>1.9440900229795455</v>
      </c>
      <c r="AO139" s="19">
        <v>5.908906143262457</v>
      </c>
      <c r="AP139" s="19">
        <v>7.0888168653386696</v>
      </c>
      <c r="AQ139" s="19">
        <v>0.57687621720589799</v>
      </c>
    </row>
    <row r="140" spans="1:43">
      <c r="A140" s="4">
        <v>217</v>
      </c>
      <c r="B140" s="5" t="s">
        <v>319</v>
      </c>
      <c r="C140" s="13" t="s">
        <v>320</v>
      </c>
      <c r="D140" s="22" t="s">
        <v>320</v>
      </c>
      <c r="E140" s="5" t="s">
        <v>44</v>
      </c>
      <c r="F140" s="23">
        <v>1999</v>
      </c>
      <c r="G140" s="24">
        <v>42.152594739999998</v>
      </c>
      <c r="H140" s="24">
        <v>-83.111645969999998</v>
      </c>
      <c r="I140" s="25"/>
      <c r="J140" s="25"/>
      <c r="L140" s="26">
        <v>6.08</v>
      </c>
      <c r="M140" s="17">
        <f t="shared" si="3"/>
        <v>1</v>
      </c>
      <c r="N140" s="1">
        <v>169</v>
      </c>
      <c r="O140" s="18">
        <v>89</v>
      </c>
      <c r="P140" s="19">
        <v>2.8237493603082728</v>
      </c>
      <c r="Q140" s="20">
        <v>6.080000000000001</v>
      </c>
      <c r="R140" s="19">
        <v>0.66346198890435659</v>
      </c>
      <c r="S140" s="19">
        <v>0.11287106517766746</v>
      </c>
      <c r="T140" s="19">
        <v>0.5828929226556997</v>
      </c>
      <c r="U140" s="19">
        <v>1.0036432433324345</v>
      </c>
      <c r="V140" s="19">
        <v>0.9929373205352463</v>
      </c>
      <c r="W140" s="19">
        <v>2.5624816864980651</v>
      </c>
      <c r="X140" s="19">
        <v>3.3997496621465104</v>
      </c>
      <c r="Y140" s="19">
        <v>14.796516233950841</v>
      </c>
      <c r="Z140" s="19">
        <v>5.6794318408740425</v>
      </c>
      <c r="AA140" s="19">
        <v>6.898446948267063</v>
      </c>
      <c r="AB140" s="19">
        <v>15.397136707085163</v>
      </c>
      <c r="AC140" s="19">
        <v>2.1179518159318067</v>
      </c>
      <c r="AD140" s="19">
        <v>3.5688320698499099</v>
      </c>
      <c r="AE140" s="19">
        <v>5.3053712797238681</v>
      </c>
      <c r="AF140" s="19">
        <v>5.1574664405423816</v>
      </c>
      <c r="AG140" s="19">
        <v>14.704705976830439</v>
      </c>
      <c r="AH140" s="19">
        <v>12.330562701118541</v>
      </c>
      <c r="AI140" s="19">
        <v>13.527917360598437</v>
      </c>
      <c r="AJ140" s="19">
        <v>8.4778031168514776</v>
      </c>
      <c r="AK140" s="19">
        <v>8.3743266568797097</v>
      </c>
      <c r="AL140" s="19">
        <v>5.1834135322688244</v>
      </c>
      <c r="AM140" s="19">
        <v>4.0765061241745517</v>
      </c>
      <c r="AN140" s="19">
        <v>5.7493392937012642</v>
      </c>
      <c r="AO140" s="19">
        <v>5.8212342157467694</v>
      </c>
      <c r="AP140" s="19">
        <v>6.8442570116966337</v>
      </c>
      <c r="AQ140" s="19">
        <v>0.14277480422211949</v>
      </c>
    </row>
    <row r="141" spans="1:43">
      <c r="A141" s="21">
        <v>218</v>
      </c>
      <c r="B141" s="5" t="s">
        <v>321</v>
      </c>
      <c r="C141" s="13" t="s">
        <v>322</v>
      </c>
      <c r="D141" s="22" t="s">
        <v>322</v>
      </c>
      <c r="E141" s="5" t="s">
        <v>44</v>
      </c>
      <c r="F141" s="23">
        <v>1999</v>
      </c>
      <c r="G141" s="24">
        <v>42.180480549999999</v>
      </c>
      <c r="H141" s="24">
        <v>-83.111435790000002</v>
      </c>
      <c r="I141" s="25"/>
      <c r="J141" s="25"/>
      <c r="L141" s="26">
        <v>2.09</v>
      </c>
      <c r="M141" s="17">
        <f t="shared" si="3"/>
        <v>1</v>
      </c>
      <c r="N141" s="1">
        <v>84</v>
      </c>
      <c r="O141" s="18">
        <v>90</v>
      </c>
      <c r="P141" s="19">
        <v>1.6276068381296498</v>
      </c>
      <c r="Q141" s="20">
        <v>2.09</v>
      </c>
      <c r="R141" s="19">
        <v>1.1961264028290426</v>
      </c>
      <c r="S141" s="19">
        <v>0.64103330960091931</v>
      </c>
      <c r="T141" s="19">
        <v>0.9733823650897816</v>
      </c>
      <c r="U141" s="19">
        <v>2.0964930506562292</v>
      </c>
      <c r="V141" s="19">
        <v>3.4215715337912983E-2</v>
      </c>
      <c r="W141" s="19">
        <v>0.90263801920233355</v>
      </c>
      <c r="X141" s="19">
        <v>3.9662151718485652</v>
      </c>
      <c r="Y141" s="19">
        <v>13.174592413443424</v>
      </c>
      <c r="Z141" s="19">
        <v>5.1766455653628149</v>
      </c>
      <c r="AA141" s="19">
        <v>6.2296152226196497</v>
      </c>
      <c r="AB141" s="19">
        <v>16.364871714199477</v>
      </c>
      <c r="AC141" s="19">
        <v>1.6143763749212166</v>
      </c>
      <c r="AD141" s="19">
        <v>2.8132924508751249</v>
      </c>
      <c r="AE141" s="19">
        <v>4.3011111501747816</v>
      </c>
      <c r="AF141" s="19">
        <v>4.3779788616311057</v>
      </c>
      <c r="AG141" s="19">
        <v>14.059700332674279</v>
      </c>
      <c r="AH141" s="19">
        <v>11.229671234985618</v>
      </c>
      <c r="AI141" s="19">
        <v>14.151395801767455</v>
      </c>
      <c r="AJ141" s="19">
        <v>8.429568525061562</v>
      </c>
      <c r="AK141" s="19">
        <v>8.6622534820004908</v>
      </c>
      <c r="AL141" s="19">
        <v>4.3074120381288408</v>
      </c>
      <c r="AM141" s="19">
        <v>3.5694194296956296</v>
      </c>
      <c r="AN141" s="19">
        <v>5.0623318744960919</v>
      </c>
      <c r="AO141" s="19">
        <v>4.918463821053539</v>
      </c>
      <c r="AP141" s="19">
        <v>5.8837032816806039</v>
      </c>
      <c r="AQ141" s="19">
        <v>0.18071088112531863</v>
      </c>
    </row>
    <row r="142" spans="1:43">
      <c r="A142" s="4">
        <v>219</v>
      </c>
      <c r="B142" s="5" t="s">
        <v>323</v>
      </c>
      <c r="C142" s="13" t="s">
        <v>324</v>
      </c>
      <c r="D142" s="22" t="s">
        <v>324</v>
      </c>
      <c r="E142" s="5" t="s">
        <v>44</v>
      </c>
      <c r="F142" s="23">
        <v>1999</v>
      </c>
      <c r="G142" s="24">
        <v>42.16960778</v>
      </c>
      <c r="H142" s="24">
        <v>-83.130540629999999</v>
      </c>
      <c r="I142" s="25"/>
      <c r="J142" s="25"/>
      <c r="L142" s="26">
        <v>9.25</v>
      </c>
      <c r="M142" s="17">
        <f t="shared" si="3"/>
        <v>1</v>
      </c>
      <c r="N142" s="1">
        <v>139</v>
      </c>
      <c r="O142" s="18">
        <v>91</v>
      </c>
      <c r="P142" s="19">
        <v>3.3575520046180838</v>
      </c>
      <c r="Q142" s="20">
        <v>9.25</v>
      </c>
      <c r="R142" s="19">
        <v>0.36859188909622165</v>
      </c>
      <c r="S142" s="19">
        <v>1.5782997240927459E-2</v>
      </c>
      <c r="T142" s="19">
        <v>0.33167480615385536</v>
      </c>
      <c r="U142" s="19">
        <v>0.60636985327461468</v>
      </c>
      <c r="V142" s="19">
        <v>0.20911709722619426</v>
      </c>
      <c r="W142" s="19">
        <v>0.31136884395031111</v>
      </c>
      <c r="X142" s="19">
        <v>1.2133162109412867</v>
      </c>
      <c r="Y142" s="19">
        <v>14.264550245730394</v>
      </c>
      <c r="Z142" s="19">
        <v>5.3095679778425913</v>
      </c>
      <c r="AA142" s="19">
        <v>6.5827216618923892</v>
      </c>
      <c r="AB142" s="19">
        <v>13.899513062949593</v>
      </c>
      <c r="AC142" s="19">
        <v>1.8691916125677965</v>
      </c>
      <c r="AD142" s="19">
        <v>3.4554529382344268</v>
      </c>
      <c r="AE142" s="19">
        <v>4.8772535358828861</v>
      </c>
      <c r="AF142" s="19">
        <v>5.3082749161926017</v>
      </c>
      <c r="AG142" s="19">
        <v>14.320747869551777</v>
      </c>
      <c r="AH142" s="19">
        <v>11.82487313377575</v>
      </c>
      <c r="AI142" s="19">
        <v>13.297861179970404</v>
      </c>
      <c r="AJ142" s="19">
        <v>7.6969769401983008</v>
      </c>
      <c r="AK142" s="19">
        <v>7.6159990841905545</v>
      </c>
      <c r="AL142" s="19">
        <v>4.9854165123980634</v>
      </c>
      <c r="AM142" s="19">
        <v>3.1594471299504567</v>
      </c>
      <c r="AN142" s="19">
        <v>5.3713543667730699</v>
      </c>
      <c r="AO142" s="19">
        <v>5.5233013507428463</v>
      </c>
      <c r="AP142" s="19">
        <v>6.0764659896560707</v>
      </c>
      <c r="AQ142" s="19">
        <v>0.10761448280646836</v>
      </c>
    </row>
    <row r="143" spans="1:43">
      <c r="A143" s="21">
        <v>22</v>
      </c>
      <c r="B143" s="5" t="s">
        <v>325</v>
      </c>
      <c r="C143" s="13" t="s">
        <v>326</v>
      </c>
      <c r="D143" s="22" t="s">
        <v>326</v>
      </c>
      <c r="E143" s="5" t="s">
        <v>44</v>
      </c>
      <c r="F143" s="23">
        <v>1999</v>
      </c>
      <c r="G143" s="24">
        <v>42.111039599999998</v>
      </c>
      <c r="H143" s="24">
        <v>-83.17762218</v>
      </c>
      <c r="I143" s="25"/>
      <c r="J143" s="25"/>
      <c r="L143" s="26">
        <v>3.76</v>
      </c>
      <c r="M143" s="17">
        <f t="shared" si="3"/>
        <v>1</v>
      </c>
      <c r="N143" s="1">
        <v>187</v>
      </c>
      <c r="O143" s="18">
        <v>118</v>
      </c>
      <c r="P143" s="19">
        <v>2.2509615735332189</v>
      </c>
      <c r="Q143" s="20">
        <v>3.76</v>
      </c>
      <c r="R143" s="19">
        <v>3.2386321479327989</v>
      </c>
      <c r="S143" s="19">
        <v>1.1495638837829437E-2</v>
      </c>
      <c r="T143" s="19">
        <v>2.723706949133839</v>
      </c>
      <c r="U143" s="19">
        <v>4.913716928327533</v>
      </c>
      <c r="V143" s="19">
        <v>3.1190008573652603</v>
      </c>
      <c r="W143" s="19">
        <v>2.6615055757870096</v>
      </c>
      <c r="X143" s="19">
        <v>7.7497976319268771</v>
      </c>
      <c r="Y143" s="19">
        <v>11.995039249049757</v>
      </c>
      <c r="Z143" s="19">
        <v>2.7344315821747585</v>
      </c>
      <c r="AA143" s="19">
        <v>5.6254137750674576E-4</v>
      </c>
      <c r="AB143" s="19">
        <v>14.234389254956067</v>
      </c>
      <c r="AC143" s="19">
        <v>0.80575072876382781</v>
      </c>
      <c r="AD143" s="19">
        <v>3.048704349061266</v>
      </c>
      <c r="AE143" s="19">
        <v>4.2295268840876883</v>
      </c>
      <c r="AF143" s="19">
        <v>4.5494193035602635</v>
      </c>
      <c r="AG143" s="19">
        <v>14.055783027678428</v>
      </c>
      <c r="AH143" s="19">
        <v>9.3904878026806795</v>
      </c>
      <c r="AI143" s="19">
        <v>13.325426542278892</v>
      </c>
      <c r="AJ143" s="19">
        <v>8.6607035699393968</v>
      </c>
      <c r="AK143" s="19">
        <v>6.9050946331793135</v>
      </c>
      <c r="AL143" s="19">
        <v>5.105271379418757</v>
      </c>
      <c r="AM143" s="19">
        <v>4.4495853801902214</v>
      </c>
      <c r="AN143" s="19">
        <v>0.7292315200725793</v>
      </c>
      <c r="AO143" s="19">
        <v>4.4225740150616426</v>
      </c>
      <c r="AP143" s="19">
        <v>7.0571519442739268</v>
      </c>
      <c r="AQ143" s="19">
        <v>0.26151387588831843</v>
      </c>
    </row>
    <row r="144" spans="1:43">
      <c r="A144" s="21">
        <v>220</v>
      </c>
      <c r="B144" s="5" t="s">
        <v>327</v>
      </c>
      <c r="C144" s="13" t="s">
        <v>328</v>
      </c>
      <c r="D144" s="22" t="s">
        <v>328</v>
      </c>
      <c r="E144" s="5" t="s">
        <v>44</v>
      </c>
      <c r="F144" s="23">
        <v>1999</v>
      </c>
      <c r="G144" s="24">
        <v>42.170907390000004</v>
      </c>
      <c r="H144" s="24">
        <v>-83.126032280000004</v>
      </c>
      <c r="I144" s="25"/>
      <c r="J144" s="25"/>
      <c r="L144" s="26">
        <v>2.6225000000000001</v>
      </c>
      <c r="M144" s="17">
        <f t="shared" si="3"/>
        <v>1</v>
      </c>
      <c r="N144" s="1">
        <v>95</v>
      </c>
      <c r="O144" s="18">
        <v>92</v>
      </c>
      <c r="P144" s="19">
        <v>1.8569856897822046</v>
      </c>
      <c r="Q144" s="20">
        <v>2.6224999999999996</v>
      </c>
      <c r="R144" s="19">
        <v>1.1658155796686211</v>
      </c>
      <c r="S144" s="19">
        <v>0.22194408068813992</v>
      </c>
      <c r="T144" s="19">
        <v>1.2694821374968623</v>
      </c>
      <c r="U144" s="19">
        <v>1.9918099981671726</v>
      </c>
      <c r="V144" s="19">
        <v>1.1354840803091322</v>
      </c>
      <c r="W144" s="19">
        <v>1.0603681888825194</v>
      </c>
      <c r="X144" s="19">
        <v>4.0580790568696248</v>
      </c>
      <c r="Y144" s="19">
        <v>13.071787190725956</v>
      </c>
      <c r="Z144" s="19">
        <v>4.7678729691775592</v>
      </c>
      <c r="AA144" s="19">
        <v>5.8774085881257623</v>
      </c>
      <c r="AB144" s="19">
        <v>15.053996448256671</v>
      </c>
      <c r="AC144" s="19">
        <v>1.3835989428694053</v>
      </c>
      <c r="AD144" s="19">
        <v>2.9106335375914756</v>
      </c>
      <c r="AE144" s="19">
        <v>4.0542226441093909</v>
      </c>
      <c r="AF144" s="19">
        <v>4.271297780285404</v>
      </c>
      <c r="AG144" s="19">
        <v>13.611801995055334</v>
      </c>
      <c r="AH144" s="19">
        <v>10.861376074435823</v>
      </c>
      <c r="AI144" s="19">
        <v>13.568141088130908</v>
      </c>
      <c r="AJ144" s="19">
        <v>8.122936550837256</v>
      </c>
      <c r="AK144" s="19">
        <v>7.562654528352982</v>
      </c>
      <c r="AL144" s="19">
        <v>4.2548772312637473</v>
      </c>
      <c r="AM144" s="19">
        <v>3.4482321676960264</v>
      </c>
      <c r="AN144" s="19">
        <v>4.7252875734082025</v>
      </c>
      <c r="AO144" s="19">
        <v>4.6602611086853223</v>
      </c>
      <c r="AP144" s="19">
        <v>5.5212544032701221</v>
      </c>
      <c r="AQ144" s="19">
        <v>0.26570649699731019</v>
      </c>
    </row>
    <row r="145" spans="1:43">
      <c r="A145" s="4">
        <v>221</v>
      </c>
      <c r="B145" s="5" t="s">
        <v>329</v>
      </c>
      <c r="C145" s="13" t="s">
        <v>330</v>
      </c>
      <c r="D145" s="22" t="s">
        <v>330</v>
      </c>
      <c r="E145" s="5" t="s">
        <v>44</v>
      </c>
      <c r="F145" s="23">
        <v>1999</v>
      </c>
      <c r="G145" s="24">
        <v>42.181255</v>
      </c>
      <c r="H145" s="24">
        <v>-83.119235130000007</v>
      </c>
      <c r="I145" s="25"/>
      <c r="J145" s="25"/>
      <c r="L145" s="26">
        <v>3.16</v>
      </c>
      <c r="M145" s="17">
        <f t="shared" si="3"/>
        <v>1</v>
      </c>
      <c r="N145" s="1">
        <v>143</v>
      </c>
      <c r="O145" s="18">
        <v>93</v>
      </c>
      <c r="P145" s="19">
        <v>2.0565835283663674</v>
      </c>
      <c r="Q145" s="20">
        <v>3.1599999999999993</v>
      </c>
      <c r="R145" s="19">
        <v>1.4064339498421476</v>
      </c>
      <c r="S145" s="19">
        <v>0.25375311725148769</v>
      </c>
      <c r="T145" s="19">
        <v>1.3777998925126267</v>
      </c>
      <c r="U145" s="19">
        <v>2.2753824764824224</v>
      </c>
      <c r="V145" s="19">
        <v>0.92073098845236678</v>
      </c>
      <c r="W145" s="19">
        <v>1.2021362839475376</v>
      </c>
      <c r="X145" s="19">
        <v>5.0251359385610437</v>
      </c>
      <c r="Y145" s="19">
        <v>13.394794213944886</v>
      </c>
      <c r="Z145" s="19">
        <v>5.1066811697538324</v>
      </c>
      <c r="AA145" s="19">
        <v>6.2118308274143317</v>
      </c>
      <c r="AB145" s="19">
        <v>15.467214531984105</v>
      </c>
      <c r="AC145" s="19">
        <v>1.6981665031930873</v>
      </c>
      <c r="AD145" s="19">
        <v>2.9749241855491113</v>
      </c>
      <c r="AE145" s="19">
        <v>4.5509389509244116</v>
      </c>
      <c r="AF145" s="19">
        <v>4.6757684386289791</v>
      </c>
      <c r="AG145" s="19">
        <v>14.011372906185132</v>
      </c>
      <c r="AH145" s="19">
        <v>11.142209664978237</v>
      </c>
      <c r="AI145" s="19">
        <v>14.085936433848769</v>
      </c>
      <c r="AJ145" s="19">
        <v>8.4230007163207361</v>
      </c>
      <c r="AK145" s="19">
        <v>7.718359215196628</v>
      </c>
      <c r="AL145" s="19">
        <v>4.5645544748772693</v>
      </c>
      <c r="AM145" s="19">
        <v>4.3300953310596153</v>
      </c>
      <c r="AN145" s="19">
        <v>5.0581367465526235</v>
      </c>
      <c r="AO145" s="19">
        <v>4.8609696684338424</v>
      </c>
      <c r="AP145" s="19">
        <v>6.3349349079004256</v>
      </c>
      <c r="AQ145" s="19">
        <v>0.34946757055830729</v>
      </c>
    </row>
    <row r="146" spans="1:43">
      <c r="A146" s="21">
        <v>222</v>
      </c>
      <c r="B146" s="5" t="s">
        <v>331</v>
      </c>
      <c r="C146" s="13" t="s">
        <v>332</v>
      </c>
      <c r="D146" s="22" t="s">
        <v>332</v>
      </c>
      <c r="E146" s="5" t="s">
        <v>44</v>
      </c>
      <c r="F146" s="23">
        <v>1999</v>
      </c>
      <c r="G146" s="24">
        <v>42.177669559999998</v>
      </c>
      <c r="H146" s="24">
        <v>-83.116863330000001</v>
      </c>
      <c r="I146" s="25"/>
      <c r="J146" s="25"/>
      <c r="L146" s="26">
        <v>1.53</v>
      </c>
      <c r="M146" s="17">
        <f t="shared" si="3"/>
        <v>1</v>
      </c>
      <c r="N146" s="1">
        <v>44</v>
      </c>
      <c r="O146" s="18">
        <v>94</v>
      </c>
      <c r="P146" s="19">
        <v>1.3391373849195856</v>
      </c>
      <c r="Q146" s="20">
        <v>1.5299999999999998</v>
      </c>
      <c r="R146" s="19">
        <v>0.64037155372554322</v>
      </c>
      <c r="S146" s="19">
        <v>0.18260209297204069</v>
      </c>
      <c r="T146" s="19">
        <v>0.79891632345358132</v>
      </c>
      <c r="U146" s="19">
        <v>1.413028356869112</v>
      </c>
      <c r="V146" s="19">
        <v>0.55891506502913557</v>
      </c>
      <c r="W146" s="19">
        <v>0.88204764132909941</v>
      </c>
      <c r="X146" s="19">
        <v>3.1842918652876859</v>
      </c>
      <c r="Y146" s="19">
        <v>12.171666034638138</v>
      </c>
      <c r="Z146" s="19">
        <v>2.8694047513644181</v>
      </c>
      <c r="AA146" s="19">
        <v>6.202255286480822E-4</v>
      </c>
      <c r="AB146" s="19">
        <v>16.099890003157878</v>
      </c>
      <c r="AC146" s="19">
        <v>0.2960202248327074</v>
      </c>
      <c r="AD146" s="19">
        <v>2.2071258355673713</v>
      </c>
      <c r="AE146" s="19">
        <v>3.4470364074340512</v>
      </c>
      <c r="AF146" s="19">
        <v>4.2330959017352336</v>
      </c>
      <c r="AG146" s="19">
        <v>13.669896957109831</v>
      </c>
      <c r="AH146" s="19">
        <v>9.9071308517544434</v>
      </c>
      <c r="AI146" s="19">
        <v>13.644426607587272</v>
      </c>
      <c r="AJ146" s="19">
        <v>7.926537447200098</v>
      </c>
      <c r="AK146" s="19">
        <v>7.1967290409075746</v>
      </c>
      <c r="AL146" s="19">
        <v>3.6534286496084252</v>
      </c>
      <c r="AM146" s="19">
        <v>2.9471682528016729</v>
      </c>
      <c r="AN146" s="19">
        <v>0.17585822834373749</v>
      </c>
      <c r="AO146" s="19">
        <v>4.4496595304622746</v>
      </c>
      <c r="AP146" s="19">
        <v>6.0156866370978754</v>
      </c>
      <c r="AQ146" s="19">
        <v>9.8313476835674291E-2</v>
      </c>
    </row>
    <row r="147" spans="1:43">
      <c r="A147" s="4">
        <v>223</v>
      </c>
      <c r="B147" s="5" t="s">
        <v>333</v>
      </c>
      <c r="C147" s="13" t="s">
        <v>334</v>
      </c>
      <c r="D147" s="22" t="s">
        <v>334</v>
      </c>
      <c r="E147" s="5" t="s">
        <v>44</v>
      </c>
      <c r="F147" s="23">
        <v>1999</v>
      </c>
      <c r="G147" s="24">
        <v>42.17850773</v>
      </c>
      <c r="H147" s="24">
        <v>-83.143443719999993</v>
      </c>
      <c r="I147" s="25"/>
      <c r="J147" s="25"/>
      <c r="L147" s="26">
        <v>1.1200000000000001</v>
      </c>
      <c r="M147" s="17">
        <f t="shared" si="3"/>
        <v>1</v>
      </c>
      <c r="N147" s="1">
        <v>138</v>
      </c>
      <c r="O147" s="18">
        <v>95</v>
      </c>
      <c r="P147" s="19">
        <v>1.0840642647884746</v>
      </c>
      <c r="Q147" s="20">
        <v>1.1200000000000001</v>
      </c>
      <c r="R147" s="19">
        <v>0.25471370378619185</v>
      </c>
      <c r="S147" s="19">
        <v>6.4577485811020185E-2</v>
      </c>
      <c r="T147" s="19">
        <v>0.32552198178131142</v>
      </c>
      <c r="U147" s="19">
        <v>0.92208845432353947</v>
      </c>
      <c r="V147" s="19">
        <v>0.41607842883070933</v>
      </c>
      <c r="W147" s="19">
        <v>1.892000767165456</v>
      </c>
      <c r="X147" s="19">
        <v>5.8270874179945098</v>
      </c>
      <c r="Y147" s="19">
        <v>11.971926811979758</v>
      </c>
      <c r="Z147" s="19">
        <v>4.7118636498624955</v>
      </c>
      <c r="AA147" s="19">
        <v>5.9892706196441603</v>
      </c>
      <c r="AB147" s="19">
        <v>14.727131978022395</v>
      </c>
      <c r="AC147" s="19">
        <v>1.4732032876822156</v>
      </c>
      <c r="AD147" s="19">
        <v>2.7144073173129937</v>
      </c>
      <c r="AE147" s="19">
        <v>4.1713917061198824</v>
      </c>
      <c r="AF147" s="19">
        <v>3.7892074092357246</v>
      </c>
      <c r="AG147" s="19">
        <v>13.827887374372608</v>
      </c>
      <c r="AH147" s="19">
        <v>9.6754294463879926</v>
      </c>
      <c r="AI147" s="19">
        <v>13.118962359610967</v>
      </c>
      <c r="AJ147" s="19">
        <v>7.4408749715681051</v>
      </c>
      <c r="AK147" s="19">
        <v>7.5417557750033799</v>
      </c>
      <c r="AL147" s="19">
        <v>3.7045311927739744</v>
      </c>
      <c r="AM147" s="19">
        <v>2.9979542703637745</v>
      </c>
      <c r="AN147" s="19">
        <v>4.8130183247229965</v>
      </c>
      <c r="AO147" s="19">
        <v>5.0311504661439495</v>
      </c>
      <c r="AP147" s="19">
        <v>5.1141122004162227</v>
      </c>
      <c r="AQ147" s="19">
        <v>8.0484348084961854E-2</v>
      </c>
    </row>
    <row r="148" spans="1:43">
      <c r="A148" s="21">
        <v>224</v>
      </c>
      <c r="B148" s="5" t="s">
        <v>335</v>
      </c>
      <c r="C148" s="13" t="s">
        <v>336</v>
      </c>
      <c r="D148" s="22" t="s">
        <v>336</v>
      </c>
      <c r="E148" s="5" t="s">
        <v>44</v>
      </c>
      <c r="F148" s="23">
        <v>1999</v>
      </c>
      <c r="G148" s="24">
        <v>42.175426950000002</v>
      </c>
      <c r="H148" s="24">
        <v>-83.133847579999994</v>
      </c>
      <c r="I148" s="25"/>
      <c r="J148" s="25"/>
      <c r="L148" s="26">
        <v>3.56</v>
      </c>
      <c r="M148" s="17">
        <f t="shared" si="3"/>
        <v>1</v>
      </c>
      <c r="N148" s="1">
        <v>126</v>
      </c>
      <c r="O148" s="18">
        <v>96</v>
      </c>
      <c r="P148" s="19">
        <v>2.1890338243900169</v>
      </c>
      <c r="Q148" s="20">
        <v>3.5599999999999996</v>
      </c>
      <c r="R148" s="19">
        <v>1.4136480539796648</v>
      </c>
      <c r="S148" s="19">
        <v>0.39107297775654359</v>
      </c>
      <c r="T148" s="19">
        <v>1.5036523918402815</v>
      </c>
      <c r="U148" s="19">
        <v>6.3318799882467482</v>
      </c>
      <c r="V148" s="19">
        <v>2.1479727410451392E-2</v>
      </c>
      <c r="W148" s="19">
        <v>1.116490888461956</v>
      </c>
      <c r="X148" s="19">
        <v>4.012256789109327</v>
      </c>
      <c r="Y148" s="19">
        <v>14.204467739210731</v>
      </c>
      <c r="Z148" s="19">
        <v>5.5308336559970606</v>
      </c>
      <c r="AA148" s="19">
        <v>6.6359194541867152</v>
      </c>
      <c r="AB148" s="19">
        <v>15.517791253177888</v>
      </c>
      <c r="AC148" s="19">
        <v>1.9025692303973298</v>
      </c>
      <c r="AD148" s="19">
        <v>3.5224916380816911</v>
      </c>
      <c r="AE148" s="19">
        <v>4.909049218408577</v>
      </c>
      <c r="AF148" s="19">
        <v>5.0220064189063747</v>
      </c>
      <c r="AG148" s="19">
        <v>14.449214226697878</v>
      </c>
      <c r="AH148" s="19">
        <v>12.022531781345384</v>
      </c>
      <c r="AI148" s="19">
        <v>14.254267033374749</v>
      </c>
      <c r="AJ148" s="19">
        <v>8.6543685513266837</v>
      </c>
      <c r="AK148" s="19">
        <v>8.3078124672919742</v>
      </c>
      <c r="AL148" s="19">
        <v>4.9967592901772813</v>
      </c>
      <c r="AM148" s="19">
        <v>3.9229079819562171</v>
      </c>
      <c r="AN148" s="19">
        <v>5.4526859375136691</v>
      </c>
      <c r="AO148" s="19">
        <v>5.5017211953292025</v>
      </c>
      <c r="AP148" s="19">
        <v>6.3337116073155251</v>
      </c>
      <c r="AQ148" s="19">
        <v>0.4427233955668175</v>
      </c>
    </row>
    <row r="149" spans="1:43">
      <c r="A149" s="4">
        <v>225</v>
      </c>
      <c r="B149" s="5" t="s">
        <v>337</v>
      </c>
      <c r="C149" s="13" t="s">
        <v>338</v>
      </c>
      <c r="D149" s="22" t="s">
        <v>338</v>
      </c>
      <c r="E149" s="5" t="s">
        <v>44</v>
      </c>
      <c r="F149" s="23">
        <v>1999</v>
      </c>
      <c r="G149" s="24">
        <v>42.185385230000001</v>
      </c>
      <c r="H149" s="24">
        <v>-83.124277320000004</v>
      </c>
      <c r="I149" s="25"/>
      <c r="J149" s="25"/>
      <c r="L149" s="26">
        <v>6.67</v>
      </c>
      <c r="M149" s="17">
        <f t="shared" si="3"/>
        <v>1</v>
      </c>
      <c r="N149" s="1">
        <v>153</v>
      </c>
      <c r="O149" s="18">
        <v>97</v>
      </c>
      <c r="P149" s="19">
        <v>2.9392265777282085</v>
      </c>
      <c r="Q149" s="20">
        <v>6.669999999999999</v>
      </c>
      <c r="R149" s="19">
        <v>0.48144631139896882</v>
      </c>
      <c r="S149" s="19">
        <v>4.2644337408493722E-2</v>
      </c>
      <c r="T149" s="19">
        <v>0.22599399946951615</v>
      </c>
      <c r="U149" s="19">
        <v>0.38288619234090077</v>
      </c>
      <c r="V149" s="19">
        <v>0.11546359234321049</v>
      </c>
      <c r="W149" s="19">
        <v>0.18613684397025845</v>
      </c>
      <c r="X149" s="19">
        <v>0.32389731310750969</v>
      </c>
      <c r="Y149" s="19">
        <v>14.83659231378747</v>
      </c>
      <c r="Z149" s="19">
        <v>2.2881810737471864</v>
      </c>
      <c r="AA149" s="19">
        <v>0.17816602636993223</v>
      </c>
      <c r="AB149" s="19">
        <v>13.200273631439259</v>
      </c>
      <c r="AC149" s="19">
        <v>0.88829822013662496</v>
      </c>
      <c r="AD149" s="19">
        <v>3.790872881505742</v>
      </c>
      <c r="AE149" s="19">
        <v>5.2952097333911778</v>
      </c>
      <c r="AF149" s="19">
        <v>5.5986599005316551</v>
      </c>
      <c r="AG149" s="19">
        <v>14.70621366455368</v>
      </c>
      <c r="AH149" s="19">
        <v>12.303421118379443</v>
      </c>
      <c r="AI149" s="19">
        <v>13.275347927847893</v>
      </c>
      <c r="AJ149" s="19">
        <v>7.7001372274436894</v>
      </c>
      <c r="AK149" s="19">
        <v>8.1385409993209255</v>
      </c>
      <c r="AL149" s="19">
        <v>5.3310233404558964</v>
      </c>
      <c r="AM149" s="19">
        <v>3.4046235957696127</v>
      </c>
      <c r="AN149" s="19">
        <v>1.466245486179439</v>
      </c>
      <c r="AO149" s="19">
        <v>5.9792256493251452</v>
      </c>
      <c r="AP149" s="19">
        <v>6.4130948370450005</v>
      </c>
      <c r="AQ149" s="19">
        <v>0.11097004463841301</v>
      </c>
    </row>
    <row r="150" spans="1:43">
      <c r="A150" s="21">
        <v>226</v>
      </c>
      <c r="B150" s="5" t="s">
        <v>339</v>
      </c>
      <c r="C150" s="13" t="s">
        <v>340</v>
      </c>
      <c r="D150" s="22" t="s">
        <v>340</v>
      </c>
      <c r="E150" s="5" t="s">
        <v>44</v>
      </c>
      <c r="F150" s="23">
        <v>1999</v>
      </c>
      <c r="G150" s="24">
        <v>42.19724274</v>
      </c>
      <c r="H150" s="24">
        <v>-83.149042679999994</v>
      </c>
      <c r="I150" s="25"/>
      <c r="J150" s="25"/>
      <c r="L150" s="26">
        <v>3.21</v>
      </c>
      <c r="M150" s="17">
        <f t="shared" si="3"/>
        <v>1</v>
      </c>
      <c r="N150" s="1">
        <v>128</v>
      </c>
      <c r="O150" s="18">
        <v>98</v>
      </c>
      <c r="P150" s="19">
        <v>2.0738202332916713</v>
      </c>
      <c r="Q150" s="20">
        <v>3.21</v>
      </c>
      <c r="R150" s="19">
        <v>0.78143798557283262</v>
      </c>
      <c r="S150" s="19">
        <v>0.29456501580980887</v>
      </c>
      <c r="T150" s="19">
        <v>0.23708996895274778</v>
      </c>
      <c r="U150" s="19">
        <v>1.2297415517353998</v>
      </c>
      <c r="V150" s="19">
        <v>3.8436181656107918E-2</v>
      </c>
      <c r="W150" s="19">
        <v>0.88434869841054575</v>
      </c>
      <c r="X150" s="19">
        <v>3.798228473620493</v>
      </c>
      <c r="Y150" s="19">
        <v>13.400952870735969</v>
      </c>
      <c r="Z150" s="19">
        <v>2.0584730412639263</v>
      </c>
      <c r="AA150" s="19">
        <v>2.1638802743712018E-4</v>
      </c>
      <c r="AB150" s="19">
        <v>15.931934342353307</v>
      </c>
      <c r="AC150" s="19">
        <v>0.88888451830765769</v>
      </c>
      <c r="AD150" s="19">
        <v>3.2086931800303935</v>
      </c>
      <c r="AE150" s="19">
        <v>4.2903390664309455</v>
      </c>
      <c r="AF150" s="19">
        <v>4.8692022268759922</v>
      </c>
      <c r="AG150" s="19">
        <v>14.153680805013526</v>
      </c>
      <c r="AH150" s="19">
        <v>11.567298188413611</v>
      </c>
      <c r="AI150" s="19">
        <v>13.781818685485209</v>
      </c>
      <c r="AJ150" s="19">
        <v>8.4733114149916613</v>
      </c>
      <c r="AK150" s="19">
        <v>7.2095951641825069</v>
      </c>
      <c r="AL150" s="19">
        <v>4.6644706613414524</v>
      </c>
      <c r="AM150" s="19">
        <v>3.4300848766229279</v>
      </c>
      <c r="AN150" s="19">
        <v>4.4716615550202335E-4</v>
      </c>
      <c r="AO150" s="19">
        <v>4.9230392756946486</v>
      </c>
      <c r="AP150" s="19">
        <v>7.5019133152284043</v>
      </c>
      <c r="AQ150" s="19">
        <v>5.4725897917629815E-2</v>
      </c>
    </row>
    <row r="151" spans="1:43">
      <c r="A151" s="4">
        <v>227</v>
      </c>
      <c r="B151" s="5" t="s">
        <v>341</v>
      </c>
      <c r="C151" s="13" t="s">
        <v>342</v>
      </c>
      <c r="D151" s="22" t="s">
        <v>342</v>
      </c>
      <c r="E151" s="5" t="s">
        <v>44</v>
      </c>
      <c r="F151" s="23">
        <v>1999</v>
      </c>
      <c r="G151" s="24">
        <v>42.149490829999998</v>
      </c>
      <c r="H151" s="24">
        <v>-83.136715480000007</v>
      </c>
      <c r="I151" s="25"/>
      <c r="J151" s="25"/>
      <c r="L151" s="26">
        <v>5.42</v>
      </c>
      <c r="M151" s="17">
        <f t="shared" si="3"/>
        <v>1</v>
      </c>
      <c r="N151" s="1">
        <v>220</v>
      </c>
      <c r="O151" s="18">
        <v>99</v>
      </c>
      <c r="P151" s="19">
        <v>2.6825732973475782</v>
      </c>
      <c r="Q151" s="20">
        <v>5.419999999999999</v>
      </c>
      <c r="R151" s="19">
        <v>1.3674048106693495</v>
      </c>
      <c r="S151" s="19">
        <v>1.5052971967051092</v>
      </c>
      <c r="T151" s="19">
        <v>1.0350975419368864</v>
      </c>
      <c r="U151" s="19">
        <v>1.5528841409707368</v>
      </c>
      <c r="V151" s="19">
        <v>0.51456713736177373</v>
      </c>
      <c r="W151" s="19">
        <v>3.3450674719501001</v>
      </c>
      <c r="X151" s="19">
        <v>8.4901263172950987</v>
      </c>
      <c r="Y151" s="19">
        <v>13.196654554838116</v>
      </c>
      <c r="Z151" s="19">
        <v>5.0072077567480102</v>
      </c>
      <c r="AA151" s="19">
        <v>6.154674433022592</v>
      </c>
      <c r="AB151" s="19">
        <v>14.833966833275493</v>
      </c>
      <c r="AC151" s="19">
        <v>1.8221349592357783</v>
      </c>
      <c r="AD151" s="19">
        <v>3.0849355524702866</v>
      </c>
      <c r="AE151" s="19">
        <v>4.7091749440953237</v>
      </c>
      <c r="AF151" s="19">
        <v>4.7976508092770418</v>
      </c>
      <c r="AG151" s="19">
        <v>14.033121355849241</v>
      </c>
      <c r="AH151" s="19">
        <v>11.051507075444656</v>
      </c>
      <c r="AI151" s="19">
        <v>13.892456391279051</v>
      </c>
      <c r="AJ151" s="19">
        <v>7.886964942684882</v>
      </c>
      <c r="AK151" s="19">
        <v>8.0944494485363734</v>
      </c>
      <c r="AL151" s="19">
        <v>4.4418861045694822</v>
      </c>
      <c r="AM151" s="19">
        <v>4.0177322457790234</v>
      </c>
      <c r="AN151" s="19">
        <v>5.0117545533437271</v>
      </c>
      <c r="AO151" s="19">
        <v>4.9062672218683687</v>
      </c>
      <c r="AP151" s="19">
        <v>6.3802167762899558</v>
      </c>
      <c r="AQ151" s="19">
        <v>0.23686267355050852</v>
      </c>
    </row>
    <row r="152" spans="1:43">
      <c r="A152" s="21">
        <v>228</v>
      </c>
      <c r="B152" s="5" t="s">
        <v>343</v>
      </c>
      <c r="C152" s="13" t="s">
        <v>344</v>
      </c>
      <c r="D152" s="22" t="s">
        <v>344</v>
      </c>
      <c r="E152" s="5" t="s">
        <v>44</v>
      </c>
      <c r="F152" s="23">
        <v>1999</v>
      </c>
      <c r="G152" s="24">
        <v>42.199822470000001</v>
      </c>
      <c r="H152" s="24">
        <v>-83.136800249999993</v>
      </c>
      <c r="I152" s="25"/>
      <c r="J152" s="25"/>
      <c r="L152" s="26">
        <v>2.44</v>
      </c>
      <c r="M152" s="17">
        <f t="shared" si="3"/>
        <v>1</v>
      </c>
      <c r="N152" s="1">
        <v>179</v>
      </c>
      <c r="O152" s="18">
        <v>100</v>
      </c>
      <c r="P152" s="19">
        <v>1.7824085649273733</v>
      </c>
      <c r="Q152" s="20">
        <v>2.44</v>
      </c>
      <c r="R152" s="19">
        <v>1.3370815368745832</v>
      </c>
      <c r="S152" s="19">
        <v>0.53070006085397525</v>
      </c>
      <c r="T152" s="19">
        <v>1.1973630617518358</v>
      </c>
      <c r="U152" s="19">
        <v>2.1100842470121699</v>
      </c>
      <c r="V152" s="19">
        <v>0.68781056933129925</v>
      </c>
      <c r="W152" s="19">
        <v>2.0627712395710152</v>
      </c>
      <c r="X152" s="19">
        <v>5.8951040248530697</v>
      </c>
      <c r="Y152" s="19">
        <v>13.066385720091178</v>
      </c>
      <c r="Z152" s="19">
        <v>5.2362558202939882</v>
      </c>
      <c r="AA152" s="19">
        <v>6.3705525245370422</v>
      </c>
      <c r="AB152" s="19">
        <v>15.336547045682142</v>
      </c>
      <c r="AC152" s="19">
        <v>1.7813746577249832</v>
      </c>
      <c r="AD152" s="19">
        <v>2.9953454014405265</v>
      </c>
      <c r="AE152" s="19">
        <v>4.471299025556295</v>
      </c>
      <c r="AF152" s="19">
        <v>5.0499658614106462</v>
      </c>
      <c r="AG152" s="19">
        <v>14.159421254984343</v>
      </c>
      <c r="AH152" s="19">
        <v>10.97946324349698</v>
      </c>
      <c r="AI152" s="19">
        <v>14.110449965100539</v>
      </c>
      <c r="AJ152" s="19">
        <v>8.2711683653309507</v>
      </c>
      <c r="AK152" s="19">
        <v>7.7261090809748092</v>
      </c>
      <c r="AL152" s="19">
        <v>4.4885754235659752</v>
      </c>
      <c r="AM152" s="19">
        <v>3.9629541749835391</v>
      </c>
      <c r="AN152" s="19">
        <v>5.1980532896927807</v>
      </c>
      <c r="AO152" s="19">
        <v>4.7296652970255328</v>
      </c>
      <c r="AP152" s="19">
        <v>6.2071566731053567</v>
      </c>
      <c r="AQ152" s="19">
        <v>0.28592192042593512</v>
      </c>
    </row>
    <row r="153" spans="1:43">
      <c r="A153" s="4">
        <v>229</v>
      </c>
      <c r="B153" s="5" t="s">
        <v>345</v>
      </c>
      <c r="C153" s="13" t="s">
        <v>346</v>
      </c>
      <c r="D153" s="22" t="s">
        <v>346</v>
      </c>
      <c r="E153" s="5" t="s">
        <v>44</v>
      </c>
      <c r="F153" s="23">
        <v>1999</v>
      </c>
      <c r="G153" s="24">
        <v>42.172404159999999</v>
      </c>
      <c r="H153" s="24">
        <v>-83.160562110000001</v>
      </c>
      <c r="I153" s="25"/>
      <c r="J153" s="25"/>
      <c r="L153" s="26">
        <v>8.0299999999999994</v>
      </c>
      <c r="M153" s="17">
        <f t="shared" si="3"/>
        <v>1</v>
      </c>
      <c r="N153" s="1">
        <v>217</v>
      </c>
      <c r="O153" s="18">
        <v>101</v>
      </c>
      <c r="P153" s="19">
        <v>3.1747259877061333</v>
      </c>
      <c r="Q153" s="20">
        <v>8.0299999999999994</v>
      </c>
      <c r="R153" s="19">
        <v>2.3274601191287836</v>
      </c>
      <c r="S153" s="19">
        <v>2.9982866215714315E-2</v>
      </c>
      <c r="T153" s="19">
        <v>1.4631201232210655</v>
      </c>
      <c r="U153" s="19">
        <v>9.720072039335987</v>
      </c>
      <c r="V153" s="19">
        <v>0.96551858506969113</v>
      </c>
      <c r="W153" s="19">
        <v>3.5041857161368526</v>
      </c>
      <c r="X153" s="19">
        <v>7.7166301358604565</v>
      </c>
      <c r="Y153" s="19">
        <v>13.799041568709415</v>
      </c>
      <c r="Z153" s="19">
        <v>5.8363020091895033</v>
      </c>
      <c r="AA153" s="19">
        <v>7.0028981763764886</v>
      </c>
      <c r="AB153" s="19">
        <v>15.717371591020079</v>
      </c>
      <c r="AC153" s="19">
        <v>2.5755844033614359</v>
      </c>
      <c r="AD153" s="19">
        <v>3.5703659067940343</v>
      </c>
      <c r="AE153" s="19">
        <v>5.8058188006832285</v>
      </c>
      <c r="AF153" s="19">
        <v>5.8702723400782233</v>
      </c>
      <c r="AG153" s="19">
        <v>14.8065023663349</v>
      </c>
      <c r="AH153" s="19">
        <v>11.543009207264188</v>
      </c>
      <c r="AI153" s="19">
        <v>14.25736942319584</v>
      </c>
      <c r="AJ153" s="19">
        <v>8.7375529450818501</v>
      </c>
      <c r="AK153" s="19">
        <v>8.4342905247876843</v>
      </c>
      <c r="AL153" s="19">
        <v>5.4449911221669707</v>
      </c>
      <c r="AM153" s="19">
        <v>5.5047989694290838</v>
      </c>
      <c r="AN153" s="19">
        <v>5.8864114996030414</v>
      </c>
      <c r="AO153" s="19">
        <v>5.2395524903022483</v>
      </c>
      <c r="AP153" s="19">
        <v>7.6807601712693989</v>
      </c>
      <c r="AQ153" s="19">
        <v>0.5246152195980639</v>
      </c>
    </row>
    <row r="154" spans="1:43">
      <c r="A154" s="4">
        <v>23</v>
      </c>
      <c r="B154" s="5" t="s">
        <v>347</v>
      </c>
      <c r="C154" s="13" t="s">
        <v>348</v>
      </c>
      <c r="D154" s="22" t="s">
        <v>348</v>
      </c>
      <c r="E154" s="5" t="s">
        <v>44</v>
      </c>
      <c r="F154" s="23">
        <v>1999</v>
      </c>
      <c r="G154" s="24">
        <v>42.10072744</v>
      </c>
      <c r="H154" s="24">
        <v>-83.176700760000003</v>
      </c>
      <c r="I154" s="25"/>
      <c r="J154" s="25"/>
      <c r="L154" s="26">
        <v>2.34</v>
      </c>
      <c r="M154" s="17">
        <f t="shared" si="3"/>
        <v>1</v>
      </c>
      <c r="N154" s="1">
        <v>118</v>
      </c>
      <c r="O154" s="18">
        <v>119</v>
      </c>
      <c r="P154" s="19">
        <v>1.7398481026993275</v>
      </c>
      <c r="Q154" s="20">
        <v>2.34</v>
      </c>
      <c r="R154" s="19">
        <v>2.6179032132035114</v>
      </c>
      <c r="S154" s="19">
        <v>1.2926174444270048E-2</v>
      </c>
      <c r="T154" s="19">
        <v>2.3545448170239434</v>
      </c>
      <c r="U154" s="19">
        <v>4.7975960528379282</v>
      </c>
      <c r="V154" s="19">
        <v>2.1423364807439369</v>
      </c>
      <c r="W154" s="19">
        <v>4.1554052624827458</v>
      </c>
      <c r="X154" s="19">
        <v>8.5627070854410547</v>
      </c>
      <c r="Y154" s="19">
        <v>12.6387870250422</v>
      </c>
      <c r="Z154" s="19">
        <v>1.742207044723052</v>
      </c>
      <c r="AA154" s="19">
        <v>6.779073734612199E-4</v>
      </c>
      <c r="AB154" s="19">
        <v>14.866532241568915</v>
      </c>
      <c r="AC154" s="19">
        <v>0.36123685778320369</v>
      </c>
      <c r="AD154" s="19">
        <v>2.7874409775392333</v>
      </c>
      <c r="AE154" s="19">
        <v>3.7727748444157898</v>
      </c>
      <c r="AF154" s="19">
        <v>3.9472535111156701</v>
      </c>
      <c r="AG154" s="19">
        <v>13.396360920188902</v>
      </c>
      <c r="AH154" s="19">
        <v>10.620839213986422</v>
      </c>
      <c r="AI154" s="19">
        <v>14.132153816788527</v>
      </c>
      <c r="AJ154" s="19">
        <v>7.4942670230444843</v>
      </c>
      <c r="AK154" s="19">
        <v>6.988510585121718</v>
      </c>
      <c r="AL154" s="19">
        <v>3.8251323141761913</v>
      </c>
      <c r="AM154" s="19">
        <v>2.2169228267175374</v>
      </c>
      <c r="AN154" s="19">
        <v>6.490667393343095E-4</v>
      </c>
      <c r="AO154" s="19">
        <v>4.5777473763850507</v>
      </c>
      <c r="AP154" s="19">
        <v>5.0313392617573909</v>
      </c>
      <c r="AQ154" s="19">
        <v>2.0098439912048124E-2</v>
      </c>
    </row>
    <row r="155" spans="1:43">
      <c r="A155" s="21">
        <v>230</v>
      </c>
      <c r="B155" s="5" t="s">
        <v>349</v>
      </c>
      <c r="C155" s="13" t="s">
        <v>350</v>
      </c>
      <c r="D155" s="22" t="s">
        <v>350</v>
      </c>
      <c r="E155" s="5" t="s">
        <v>44</v>
      </c>
      <c r="F155" s="23">
        <v>1999</v>
      </c>
      <c r="G155" s="24">
        <v>42.182674429999999</v>
      </c>
      <c r="H155" s="24">
        <v>-83.142640040000003</v>
      </c>
      <c r="I155" s="25"/>
      <c r="J155" s="25"/>
      <c r="L155" s="26">
        <v>1.18</v>
      </c>
      <c r="M155" s="17">
        <f t="shared" si="3"/>
        <v>1</v>
      </c>
      <c r="N155" s="1">
        <v>173</v>
      </c>
      <c r="O155" s="18">
        <v>102</v>
      </c>
      <c r="P155" s="19">
        <v>1.1243281350022014</v>
      </c>
      <c r="Q155" s="20">
        <v>1.1799999999999997</v>
      </c>
      <c r="R155" s="19">
        <v>0.28311281016689277</v>
      </c>
      <c r="S155" s="19">
        <v>2.4319679195412891E-2</v>
      </c>
      <c r="T155" s="19">
        <v>0.22733487176281361</v>
      </c>
      <c r="U155" s="19">
        <v>0.64556016679874972</v>
      </c>
      <c r="V155" s="19">
        <v>0.23904445367881466</v>
      </c>
      <c r="W155" s="19">
        <v>1.2294512937840698</v>
      </c>
      <c r="X155" s="19">
        <v>4.8331864115344301</v>
      </c>
      <c r="Y155" s="19">
        <v>12.273151329118489</v>
      </c>
      <c r="Z155" s="19">
        <v>4.19098711973961</v>
      </c>
      <c r="AA155" s="19">
        <v>5.301180222530351</v>
      </c>
      <c r="AB155" s="19">
        <v>12.712779262476168</v>
      </c>
      <c r="AC155" s="19">
        <v>1.0905388682017132</v>
      </c>
      <c r="AD155" s="19">
        <v>2.6806039775420802</v>
      </c>
      <c r="AE155" s="19">
        <v>3.730044787736523</v>
      </c>
      <c r="AF155" s="19">
        <v>3.6103716931547556</v>
      </c>
      <c r="AG155" s="19">
        <v>12.966527193512821</v>
      </c>
      <c r="AH155" s="19">
        <v>9.8038942003091538</v>
      </c>
      <c r="AI155" s="19">
        <v>12.034352946151454</v>
      </c>
      <c r="AJ155" s="19">
        <v>6.4775847327733036</v>
      </c>
      <c r="AK155" s="19">
        <v>7.1773781269469623</v>
      </c>
      <c r="AL155" s="19">
        <v>3.9633728128880628</v>
      </c>
      <c r="AM155" s="19">
        <v>2.6360960414050987</v>
      </c>
      <c r="AN155" s="19">
        <v>4.1641689242172166</v>
      </c>
      <c r="AO155" s="19">
        <v>4.1365661646760223</v>
      </c>
      <c r="AP155" s="19">
        <v>5.1650337183243549</v>
      </c>
      <c r="AQ155" s="19">
        <v>8.3104733222786442E-2</v>
      </c>
    </row>
    <row r="156" spans="1:43">
      <c r="A156" s="4">
        <v>231</v>
      </c>
      <c r="B156" s="5" t="s">
        <v>351</v>
      </c>
      <c r="C156" s="13" t="s">
        <v>352</v>
      </c>
      <c r="D156" s="22" t="s">
        <v>352</v>
      </c>
      <c r="E156" s="5" t="s">
        <v>44</v>
      </c>
      <c r="F156" s="23">
        <v>1999</v>
      </c>
      <c r="G156" s="24">
        <v>42.167143269999997</v>
      </c>
      <c r="H156" s="24">
        <v>-83.13954923</v>
      </c>
      <c r="I156" s="25"/>
      <c r="J156" s="25"/>
      <c r="L156" s="26">
        <v>1.44</v>
      </c>
      <c r="M156" s="17">
        <f t="shared" si="3"/>
        <v>1</v>
      </c>
      <c r="N156" s="1">
        <v>196</v>
      </c>
      <c r="O156" s="18">
        <v>103</v>
      </c>
      <c r="P156" s="19">
        <v>1.2868811477881617</v>
      </c>
      <c r="Q156" s="20">
        <v>1.44</v>
      </c>
      <c r="R156" s="19">
        <v>0.39940599499888257</v>
      </c>
      <c r="S156" s="19">
        <v>2.2900402110078828E-2</v>
      </c>
      <c r="T156" s="19">
        <v>0.36600991455838422</v>
      </c>
      <c r="U156" s="19">
        <v>0.78011099495054359</v>
      </c>
      <c r="V156" s="19">
        <v>0.30554468381422406</v>
      </c>
      <c r="W156" s="19">
        <v>2.7425063975281896</v>
      </c>
      <c r="X156" s="19">
        <v>6.2441104627238699</v>
      </c>
      <c r="Y156" s="19">
        <v>12.185480556006157</v>
      </c>
      <c r="Z156" s="19">
        <v>4.4232103332240911</v>
      </c>
      <c r="AA156" s="19">
        <v>5.5387080499890038</v>
      </c>
      <c r="AB156" s="19">
        <v>14.178638482438769</v>
      </c>
      <c r="AC156" s="19">
        <v>1.3233802685457432</v>
      </c>
      <c r="AD156" s="19">
        <v>2.526347881757077</v>
      </c>
      <c r="AE156" s="19">
        <v>4.086464876029571</v>
      </c>
      <c r="AF156" s="19">
        <v>4.0596991520623638</v>
      </c>
      <c r="AG156" s="19">
        <v>13.294144959850971</v>
      </c>
      <c r="AH156" s="19">
        <v>9.8566014267426922</v>
      </c>
      <c r="AI156" s="19">
        <v>13.05191492066438</v>
      </c>
      <c r="AJ156" s="19">
        <v>7.4640078706133943</v>
      </c>
      <c r="AK156" s="19">
        <v>7.6234741667580908</v>
      </c>
      <c r="AL156" s="19">
        <v>3.6698726964035595</v>
      </c>
      <c r="AM156" s="19">
        <v>3.9579940844655934</v>
      </c>
      <c r="AN156" s="19">
        <v>4.4077813629310079</v>
      </c>
      <c r="AO156" s="19">
        <v>4.0602577930750172</v>
      </c>
      <c r="AP156" s="19">
        <v>5.7664888967656598</v>
      </c>
      <c r="AQ156" s="19">
        <v>0.10385717593765147</v>
      </c>
    </row>
    <row r="157" spans="1:43">
      <c r="A157" s="21">
        <v>232</v>
      </c>
      <c r="B157" s="5" t="s">
        <v>353</v>
      </c>
      <c r="C157" s="13" t="s">
        <v>354</v>
      </c>
      <c r="D157" s="22" t="s">
        <v>354</v>
      </c>
      <c r="E157" s="5" t="s">
        <v>44</v>
      </c>
      <c r="F157" s="23">
        <v>1999</v>
      </c>
      <c r="G157" s="24">
        <v>42.147667249999998</v>
      </c>
      <c r="H157" s="24">
        <v>-83.123886600000006</v>
      </c>
      <c r="I157" s="25"/>
      <c r="J157" s="25"/>
      <c r="L157" s="26">
        <v>2.0099999999999998</v>
      </c>
      <c r="M157" s="17">
        <f t="shared" si="3"/>
        <v>1</v>
      </c>
      <c r="N157" s="1">
        <v>65</v>
      </c>
      <c r="O157" s="18">
        <v>104</v>
      </c>
      <c r="P157" s="19">
        <v>1.5897634869849775</v>
      </c>
      <c r="Q157" s="20">
        <v>2.0100000000000002</v>
      </c>
      <c r="R157" s="19">
        <v>0.98149245015676201</v>
      </c>
      <c r="S157" s="19">
        <v>0.22136638634739306</v>
      </c>
      <c r="T157" s="19">
        <v>1.2908036308287025</v>
      </c>
      <c r="U157" s="19">
        <v>2.5667435888771166</v>
      </c>
      <c r="V157" s="19">
        <v>1.1387717457217092</v>
      </c>
      <c r="W157" s="19">
        <v>1.1018324770661194</v>
      </c>
      <c r="X157" s="19">
        <v>4.2285750320668694</v>
      </c>
      <c r="Y157" s="19">
        <v>12.050014345917551</v>
      </c>
      <c r="Z157" s="19">
        <v>2.5753120960554412</v>
      </c>
      <c r="AA157" s="19">
        <v>1.7311301833315159E-4</v>
      </c>
      <c r="AB157" s="19">
        <v>15.37421431160525</v>
      </c>
      <c r="AC157" s="19">
        <v>0.42687188559058881</v>
      </c>
      <c r="AD157" s="19">
        <v>2.168535242008284</v>
      </c>
      <c r="AE157" s="19">
        <v>3.2519776362759854</v>
      </c>
      <c r="AF157" s="19">
        <v>3.7931636165831537</v>
      </c>
      <c r="AG157" s="19">
        <v>13.31554639402999</v>
      </c>
      <c r="AH157" s="19">
        <v>9.9123369374799086</v>
      </c>
      <c r="AI157" s="19">
        <v>12.912098239287438</v>
      </c>
      <c r="AJ157" s="19">
        <v>7.7340946197686833</v>
      </c>
      <c r="AK157" s="19">
        <v>7.1925569828660825</v>
      </c>
      <c r="AL157" s="19">
        <v>3.5201811553324109</v>
      </c>
      <c r="AM157" s="19">
        <v>3.0860842698188446</v>
      </c>
      <c r="AN157" s="19">
        <v>0.4285504100066399</v>
      </c>
      <c r="AO157" s="19">
        <v>4.214534764500387</v>
      </c>
      <c r="AP157" s="19">
        <v>5.109669435098624</v>
      </c>
      <c r="AQ157" s="19">
        <v>0.13379029116208285</v>
      </c>
    </row>
    <row r="158" spans="1:43">
      <c r="A158" s="4">
        <v>233</v>
      </c>
      <c r="B158" s="5" t="s">
        <v>355</v>
      </c>
      <c r="C158" s="13" t="s">
        <v>356</v>
      </c>
      <c r="D158" s="22" t="s">
        <v>356</v>
      </c>
      <c r="E158" s="5" t="s">
        <v>44</v>
      </c>
      <c r="F158" s="23">
        <v>1999</v>
      </c>
      <c r="G158" s="24">
        <v>42.093050230000003</v>
      </c>
      <c r="H158" s="24">
        <v>-83.117866879999994</v>
      </c>
      <c r="I158" s="25"/>
      <c r="J158" s="25"/>
      <c r="L158" s="26">
        <v>4.88</v>
      </c>
      <c r="M158" s="17">
        <f t="shared" si="3"/>
        <v>1</v>
      </c>
      <c r="N158" s="1">
        <v>167</v>
      </c>
      <c r="O158" s="18">
        <v>105</v>
      </c>
      <c r="P158" s="19">
        <v>2.5558161550616396</v>
      </c>
      <c r="Q158" s="20">
        <v>4.88</v>
      </c>
      <c r="R158" s="19">
        <v>2.0005585842930813</v>
      </c>
      <c r="S158" s="19">
        <v>0.54730364957888877</v>
      </c>
      <c r="T158" s="19">
        <v>1.7395908496758909</v>
      </c>
      <c r="U158" s="19">
        <v>2.8949850261345644</v>
      </c>
      <c r="V158" s="19">
        <v>1.29639770778659</v>
      </c>
      <c r="W158" s="19">
        <v>1.597617620009312</v>
      </c>
      <c r="X158" s="19">
        <v>4.3349388311582091</v>
      </c>
      <c r="Y158" s="19">
        <v>14.121475738751705</v>
      </c>
      <c r="Z158" s="19">
        <v>2.4447495011833835</v>
      </c>
      <c r="AA158" s="19">
        <v>5.04854919853093E-4</v>
      </c>
      <c r="AB158" s="19">
        <v>15.639572593155801</v>
      </c>
      <c r="AC158" s="19">
        <v>1.0231024418581722</v>
      </c>
      <c r="AD158" s="19">
        <v>3.5087292702627222</v>
      </c>
      <c r="AE158" s="19">
        <v>5.08633951540157</v>
      </c>
      <c r="AF158" s="19">
        <v>5.462214140334253</v>
      </c>
      <c r="AG158" s="19">
        <v>14.587824177084993</v>
      </c>
      <c r="AH158" s="19">
        <v>11.963667349018968</v>
      </c>
      <c r="AI158" s="19">
        <v>14.528897886881451</v>
      </c>
      <c r="AJ158" s="19">
        <v>8.8235436172744066</v>
      </c>
      <c r="AK158" s="19">
        <v>7.7987262339499726</v>
      </c>
      <c r="AL158" s="19">
        <v>5.2538967874042886</v>
      </c>
      <c r="AM158" s="19">
        <v>4.7510261195929617</v>
      </c>
      <c r="AN158" s="19">
        <v>0.7570539442391987</v>
      </c>
      <c r="AO158" s="19">
        <v>5.5622201253966574</v>
      </c>
      <c r="AP158" s="19">
        <v>6.7352158081439937</v>
      </c>
      <c r="AQ158" s="19">
        <v>0.55024943877286803</v>
      </c>
    </row>
    <row r="159" spans="1:43">
      <c r="A159" s="21">
        <v>234</v>
      </c>
      <c r="B159" s="5" t="s">
        <v>357</v>
      </c>
      <c r="C159" s="13" t="s">
        <v>358</v>
      </c>
      <c r="D159" s="22" t="s">
        <v>358</v>
      </c>
      <c r="E159" s="5" t="s">
        <v>44</v>
      </c>
      <c r="F159" s="23">
        <v>1999</v>
      </c>
      <c r="G159" s="24">
        <v>42.094264359999997</v>
      </c>
      <c r="H159" s="24">
        <v>-83.14744743</v>
      </c>
      <c r="I159" s="25"/>
      <c r="J159" s="25"/>
      <c r="L159" s="26">
        <v>2.5099999999999998</v>
      </c>
      <c r="M159" s="17">
        <f t="shared" si="3"/>
        <v>1</v>
      </c>
      <c r="N159" s="1">
        <v>20</v>
      </c>
      <c r="O159" s="18">
        <v>106</v>
      </c>
      <c r="P159" s="19">
        <v>1.811471030529836</v>
      </c>
      <c r="Q159" s="20">
        <v>2.5100000000000002</v>
      </c>
      <c r="R159" s="19">
        <v>0.15818917729716647</v>
      </c>
      <c r="S159" s="19">
        <v>3.5623909730721222E-2</v>
      </c>
      <c r="T159" s="19">
        <v>8.7022283364283609E-2</v>
      </c>
      <c r="U159" s="19">
        <v>0.17828031068459468</v>
      </c>
      <c r="V159" s="19">
        <v>3.7030730944967026E-2</v>
      </c>
      <c r="W159" s="19">
        <v>0.14731843056677438</v>
      </c>
      <c r="X159" s="19">
        <v>1.7572775925599193</v>
      </c>
      <c r="Y159" s="19">
        <v>13.309948151667717</v>
      </c>
      <c r="Z159" s="19">
        <v>4.798435674924538</v>
      </c>
      <c r="AA159" s="19">
        <v>6.0691099633218872</v>
      </c>
      <c r="AB159" s="19">
        <v>15.982771360799248</v>
      </c>
      <c r="AC159" s="19">
        <v>1.428493529729304</v>
      </c>
      <c r="AD159" s="19">
        <v>3.0443135122095319</v>
      </c>
      <c r="AE159" s="19">
        <v>4.2266345118164335</v>
      </c>
      <c r="AF159" s="19">
        <v>4.1926455641496672</v>
      </c>
      <c r="AG159" s="19">
        <v>13.858390275911791</v>
      </c>
      <c r="AH159" s="19">
        <v>11.313226083875847</v>
      </c>
      <c r="AI159" s="19">
        <v>15.082021520923373</v>
      </c>
      <c r="AJ159" s="19">
        <v>8.3358036568787615</v>
      </c>
      <c r="AK159" s="19">
        <v>7.8050015957532421</v>
      </c>
      <c r="AL159" s="19">
        <v>4.2932352072096567</v>
      </c>
      <c r="AM159" s="19">
        <v>2.3480055674321365</v>
      </c>
      <c r="AN159" s="19">
        <v>4.8680126189800959</v>
      </c>
      <c r="AO159" s="19">
        <v>4.778825797813286</v>
      </c>
      <c r="AP159" s="19">
        <v>5.3917225517048344</v>
      </c>
      <c r="AQ159" s="19">
        <v>5.3147089823656991E-2</v>
      </c>
    </row>
    <row r="160" spans="1:43">
      <c r="A160" s="4">
        <v>235</v>
      </c>
      <c r="B160" s="5" t="s">
        <v>359</v>
      </c>
      <c r="C160" s="13" t="s">
        <v>360</v>
      </c>
      <c r="D160" s="22" t="s">
        <v>360</v>
      </c>
      <c r="E160" s="5" t="s">
        <v>44</v>
      </c>
      <c r="F160" s="23">
        <v>1999</v>
      </c>
      <c r="G160" s="24">
        <v>42.093562429999999</v>
      </c>
      <c r="H160" s="24">
        <v>-83.136347830000005</v>
      </c>
      <c r="I160" s="25"/>
      <c r="J160" s="25"/>
      <c r="L160" s="26">
        <v>5.17</v>
      </c>
      <c r="M160" s="17">
        <f t="shared" si="3"/>
        <v>1</v>
      </c>
      <c r="N160" s="1">
        <v>180</v>
      </c>
      <c r="O160" s="18">
        <v>107</v>
      </c>
      <c r="P160" s="19">
        <v>2.6252704893746932</v>
      </c>
      <c r="Q160" s="20">
        <v>5.17</v>
      </c>
      <c r="R160" s="19">
        <v>2.2298165808267036</v>
      </c>
      <c r="S160" s="19">
        <v>0.70206546474046494</v>
      </c>
      <c r="T160" s="19">
        <v>1.9583074524256183</v>
      </c>
      <c r="U160" s="19">
        <v>2.6256002513081338</v>
      </c>
      <c r="V160" s="19">
        <v>1.6722976568662959</v>
      </c>
      <c r="W160" s="19">
        <v>1.8568772406299607</v>
      </c>
      <c r="X160" s="19">
        <v>5.2387055989877682</v>
      </c>
      <c r="Y160" s="19">
        <v>14.207836988850991</v>
      </c>
      <c r="Z160" s="19">
        <v>1.8735333396306295</v>
      </c>
      <c r="AA160" s="19">
        <v>4.4716615550202335E-4</v>
      </c>
      <c r="AB160" s="19">
        <v>15.367118260715884</v>
      </c>
      <c r="AC160" s="19">
        <v>0.9695407463649095</v>
      </c>
      <c r="AD160" s="19">
        <v>3.5530092916612279</v>
      </c>
      <c r="AE160" s="19">
        <v>5.3894658031530414</v>
      </c>
      <c r="AF160" s="19">
        <v>5.7436703958116881</v>
      </c>
      <c r="AG160" s="19">
        <v>14.693660255191158</v>
      </c>
      <c r="AH160" s="19">
        <v>12.129570722569706</v>
      </c>
      <c r="AI160" s="19">
        <v>14.589724933070592</v>
      </c>
      <c r="AJ160" s="19">
        <v>8.6600613948720504</v>
      </c>
      <c r="AK160" s="19">
        <v>7.7753798306859112</v>
      </c>
      <c r="AL160" s="19">
        <v>5.3691303216628885</v>
      </c>
      <c r="AM160" s="19">
        <v>4.5974020885170557</v>
      </c>
      <c r="AN160" s="19">
        <v>1.5489246393569815</v>
      </c>
      <c r="AO160" s="19">
        <v>5.7681353443340724</v>
      </c>
      <c r="AP160" s="19">
        <v>6.8014812844003609</v>
      </c>
      <c r="AQ160" s="19">
        <v>0.65411325957394284</v>
      </c>
    </row>
    <row r="161" spans="1:43">
      <c r="A161" s="21">
        <v>236</v>
      </c>
      <c r="B161" s="5" t="s">
        <v>361</v>
      </c>
      <c r="C161" s="13" t="s">
        <v>362</v>
      </c>
      <c r="D161" s="43"/>
      <c r="E161" s="47"/>
      <c r="F161" s="44"/>
      <c r="G161" s="44"/>
      <c r="H161" s="44"/>
      <c r="I161" s="44"/>
      <c r="J161" s="44"/>
      <c r="L161" s="45"/>
      <c r="M161" s="17"/>
      <c r="N161" s="1">
        <v>240</v>
      </c>
      <c r="O161" s="18">
        <v>50</v>
      </c>
      <c r="P161" s="19">
        <v>2.6959938131098999</v>
      </c>
      <c r="Q161" s="20">
        <v>5.4799999999999995</v>
      </c>
      <c r="R161" s="19">
        <v>1.3424839977180771</v>
      </c>
      <c r="S161" s="19">
        <v>3.7030730944967026E-2</v>
      </c>
      <c r="T161" s="19">
        <v>0.88627691380773366</v>
      </c>
      <c r="U161" s="19">
        <v>1.2413794477968105</v>
      </c>
      <c r="V161" s="19">
        <v>0.88717053670994883</v>
      </c>
      <c r="W161" s="19">
        <v>4.5666851948640996</v>
      </c>
      <c r="X161" s="19">
        <v>8.9590842781081896</v>
      </c>
      <c r="Y161" s="19">
        <v>13.503324822372667</v>
      </c>
      <c r="Z161" s="19">
        <v>3.0224702657053277</v>
      </c>
      <c r="AA161" s="19">
        <v>1.1479937886825951</v>
      </c>
      <c r="AB161" s="19">
        <v>15.821842796012959</v>
      </c>
      <c r="AC161" s="19">
        <v>2.0439563930253799</v>
      </c>
      <c r="AD161" s="19">
        <v>3.2795777470841716</v>
      </c>
      <c r="AE161" s="19">
        <v>6.2473570966852909</v>
      </c>
      <c r="AF161" s="19">
        <v>6.6110695456170774</v>
      </c>
      <c r="AG161" s="19">
        <v>15.377837160613849</v>
      </c>
      <c r="AH161" s="19">
        <v>11.301224924145158</v>
      </c>
      <c r="AI161" s="19">
        <v>14.16396911837815</v>
      </c>
      <c r="AJ161" s="19">
        <v>9.0923324716955563</v>
      </c>
      <c r="AK161" s="19">
        <v>8.5799751484392441</v>
      </c>
      <c r="AL161" s="19">
        <v>5.6759199421353079</v>
      </c>
      <c r="AM161" s="19">
        <v>7.9945754462882661</v>
      </c>
      <c r="AN161" s="19">
        <v>2.163693218189632</v>
      </c>
      <c r="AO161" s="19">
        <v>5.7431959353924436</v>
      </c>
      <c r="AP161" s="19">
        <v>8.5445391237607193</v>
      </c>
      <c r="AQ161" s="19">
        <v>0.50222514108078886</v>
      </c>
    </row>
    <row r="162" spans="1:43">
      <c r="A162" s="21">
        <v>24</v>
      </c>
      <c r="B162" s="5" t="s">
        <v>363</v>
      </c>
      <c r="C162" s="13" t="s">
        <v>364</v>
      </c>
      <c r="D162" s="22" t="s">
        <v>364</v>
      </c>
      <c r="E162" s="5" t="s">
        <v>44</v>
      </c>
      <c r="F162" s="23">
        <v>1999</v>
      </c>
      <c r="G162" s="24">
        <v>42.041259029999999</v>
      </c>
      <c r="H162" s="24">
        <v>-83.119226220000002</v>
      </c>
      <c r="I162" s="25"/>
      <c r="J162" s="25"/>
      <c r="L162" s="26">
        <v>2.4700000000000002</v>
      </c>
      <c r="M162" s="17">
        <f t="shared" ref="M162:M171" si="4">(L162=Q162)*1</f>
        <v>1</v>
      </c>
      <c r="N162" s="1">
        <v>124</v>
      </c>
      <c r="O162" s="18">
        <v>121</v>
      </c>
      <c r="P162" s="19">
        <v>1.7949356628035362</v>
      </c>
      <c r="Q162" s="20">
        <v>2.4699999999999998</v>
      </c>
      <c r="R162" s="19">
        <v>1.091699032508247</v>
      </c>
      <c r="S162" s="19">
        <v>0.21786109117936336</v>
      </c>
      <c r="T162" s="19">
        <v>1.0509695458070658</v>
      </c>
      <c r="U162" s="19">
        <v>2.1706797893539376</v>
      </c>
      <c r="V162" s="19">
        <v>0.20058302870494502</v>
      </c>
      <c r="W162" s="19">
        <v>1.1310589912995173</v>
      </c>
      <c r="X162" s="19">
        <v>3.7111707899136861</v>
      </c>
      <c r="Y162" s="19">
        <v>13.524211024518539</v>
      </c>
      <c r="Z162" s="19">
        <v>1.7019457555701003</v>
      </c>
      <c r="AA162" s="19">
        <v>4.1832090825726727E-4</v>
      </c>
      <c r="AB162" s="19">
        <v>15.190590586655091</v>
      </c>
      <c r="AC162" s="19">
        <v>0.69906723143533467</v>
      </c>
      <c r="AD162" s="19">
        <v>2.8656990489953538</v>
      </c>
      <c r="AE162" s="19">
        <v>4.2788320059043583</v>
      </c>
      <c r="AF162" s="19">
        <v>4.4623041781805668</v>
      </c>
      <c r="AG162" s="19">
        <v>13.881564673018705</v>
      </c>
      <c r="AH162" s="19">
        <v>11.256438210037517</v>
      </c>
      <c r="AI162" s="19">
        <v>13.491040108656152</v>
      </c>
      <c r="AJ162" s="19">
        <v>8.266716862947348</v>
      </c>
      <c r="AK162" s="19">
        <v>6.8237197785026655</v>
      </c>
      <c r="AL162" s="19">
        <v>4.3677298476378272</v>
      </c>
      <c r="AM162" s="19">
        <v>3.7587959251871066</v>
      </c>
      <c r="AN162" s="19">
        <v>0.14289834269553062</v>
      </c>
      <c r="AO162" s="19">
        <v>5.0188616942401971</v>
      </c>
      <c r="AP162" s="19">
        <v>6.2068725439133683</v>
      </c>
      <c r="AQ162" s="19">
        <v>0.41093675280954789</v>
      </c>
    </row>
    <row r="163" spans="1:43">
      <c r="A163" s="4">
        <v>25</v>
      </c>
      <c r="B163" s="5" t="s">
        <v>365</v>
      </c>
      <c r="C163" s="13" t="s">
        <v>366</v>
      </c>
      <c r="D163" s="22" t="s">
        <v>366</v>
      </c>
      <c r="E163" s="5" t="s">
        <v>44</v>
      </c>
      <c r="F163" s="23">
        <v>1999</v>
      </c>
      <c r="G163" s="24">
        <v>42.062683939999999</v>
      </c>
      <c r="H163" s="24">
        <v>-83.115829700000006</v>
      </c>
      <c r="I163" s="25"/>
      <c r="J163" s="25"/>
      <c r="L163" s="26">
        <v>0.56000000000000005</v>
      </c>
      <c r="M163" s="17">
        <f t="shared" si="4"/>
        <v>1</v>
      </c>
      <c r="N163" s="1">
        <v>17</v>
      </c>
      <c r="O163" s="18">
        <v>122</v>
      </c>
      <c r="P163" s="19">
        <v>0.64154602908752367</v>
      </c>
      <c r="Q163" s="20">
        <v>0.56000000000000005</v>
      </c>
      <c r="R163" s="19">
        <v>0.24845760898753477</v>
      </c>
      <c r="S163" s="19">
        <v>0.16719176148253445</v>
      </c>
      <c r="T163" s="19">
        <v>0.19919066168786889</v>
      </c>
      <c r="U163" s="19">
        <v>0.92023806743386927</v>
      </c>
      <c r="V163" s="19">
        <v>1.7209290032223101E-2</v>
      </c>
      <c r="W163" s="19">
        <v>0.42462132948002551</v>
      </c>
      <c r="X163" s="19">
        <v>1.8489220873711911</v>
      </c>
      <c r="Y163" s="19">
        <v>11.177576671649442</v>
      </c>
      <c r="Z163" s="19">
        <v>2.0977274530975358</v>
      </c>
      <c r="AA163" s="19">
        <v>7.788450528365792E-4</v>
      </c>
      <c r="AB163" s="19">
        <v>15.59308146229561</v>
      </c>
      <c r="AC163" s="19">
        <v>0.22396967850702995</v>
      </c>
      <c r="AD163" s="19">
        <v>2.0694600725986341</v>
      </c>
      <c r="AE163" s="19">
        <v>2.6453497470605347</v>
      </c>
      <c r="AF163" s="19">
        <v>3.1361873130997537</v>
      </c>
      <c r="AG163" s="19">
        <v>13.072040131425869</v>
      </c>
      <c r="AH163" s="19">
        <v>8.3529123438355999</v>
      </c>
      <c r="AI163" s="19">
        <v>12.126943667802378</v>
      </c>
      <c r="AJ163" s="19">
        <v>7.5772902523163577</v>
      </c>
      <c r="AK163" s="19">
        <v>5.61825210102388</v>
      </c>
      <c r="AL163" s="19">
        <v>2.8010014741016125</v>
      </c>
      <c r="AM163" s="19">
        <v>2.1530192144863762</v>
      </c>
      <c r="AN163" s="19">
        <v>0.25618128389995359</v>
      </c>
      <c r="AO163" s="19">
        <v>4.100650534225899</v>
      </c>
      <c r="AP163" s="19">
        <v>4.4539236968938845</v>
      </c>
      <c r="AQ163" s="19">
        <v>4.180141864104861E-2</v>
      </c>
    </row>
    <row r="164" spans="1:43">
      <c r="A164" s="21">
        <v>26</v>
      </c>
      <c r="B164" s="5" t="s">
        <v>367</v>
      </c>
      <c r="C164" s="13" t="s">
        <v>368</v>
      </c>
      <c r="D164" s="22" t="s">
        <v>368</v>
      </c>
      <c r="E164" s="5" t="s">
        <v>44</v>
      </c>
      <c r="F164" s="23">
        <v>1999</v>
      </c>
      <c r="G164" s="24">
        <v>42.053276940000003</v>
      </c>
      <c r="H164" s="24">
        <v>-83.130175159999993</v>
      </c>
      <c r="I164" s="25"/>
      <c r="J164" s="25"/>
      <c r="L164" s="26">
        <v>7.14</v>
      </c>
      <c r="M164" s="17">
        <f t="shared" si="4"/>
        <v>1</v>
      </c>
      <c r="N164" s="1">
        <v>163</v>
      </c>
      <c r="O164" s="18">
        <v>123</v>
      </c>
      <c r="P164" s="19">
        <v>3.0250287944915226</v>
      </c>
      <c r="Q164" s="20">
        <v>7.1400000000000006</v>
      </c>
      <c r="R164" s="19">
        <v>1.9030658159707203</v>
      </c>
      <c r="S164" s="19">
        <v>0.48139873653578985</v>
      </c>
      <c r="T164" s="19">
        <v>1.7619319452638627</v>
      </c>
      <c r="U164" s="19">
        <v>3.019771742866264</v>
      </c>
      <c r="V164" s="19">
        <v>1.4461354809064915</v>
      </c>
      <c r="W164" s="19">
        <v>1.7117109205141126</v>
      </c>
      <c r="X164" s="19">
        <v>4.0493642624872059</v>
      </c>
      <c r="Y164" s="19">
        <v>14.623088821716314</v>
      </c>
      <c r="Z164" s="19">
        <v>2.0601433059725172</v>
      </c>
      <c r="AA164" s="19">
        <v>7.9326414484054127E-4</v>
      </c>
      <c r="AB164" s="19">
        <v>15.473634110722172</v>
      </c>
      <c r="AC164" s="19">
        <v>1.1228668416867138</v>
      </c>
      <c r="AD164" s="19">
        <v>3.7347627406663615</v>
      </c>
      <c r="AE164" s="19">
        <v>5.2944131108845953</v>
      </c>
      <c r="AF164" s="19">
        <v>5.5980422196886304</v>
      </c>
      <c r="AG164" s="19">
        <v>14.803342321566948</v>
      </c>
      <c r="AH164" s="19">
        <v>12.482694369160368</v>
      </c>
      <c r="AI164" s="19">
        <v>14.404063967757116</v>
      </c>
      <c r="AJ164" s="19">
        <v>9.1379724071017296</v>
      </c>
      <c r="AK164" s="19">
        <v>8.0876757834034798</v>
      </c>
      <c r="AL164" s="19">
        <v>5.3990870845918568</v>
      </c>
      <c r="AM164" s="19">
        <v>4.5077743073150698</v>
      </c>
      <c r="AN164" s="19">
        <v>1.1123838958077084</v>
      </c>
      <c r="AO164" s="19">
        <v>5.9761562859921185</v>
      </c>
      <c r="AP164" s="19">
        <v>6.942273973098569</v>
      </c>
      <c r="AQ164" s="19">
        <v>0.5992589600614382</v>
      </c>
    </row>
    <row r="165" spans="1:43">
      <c r="A165" s="4">
        <v>27</v>
      </c>
      <c r="B165" s="5" t="s">
        <v>369</v>
      </c>
      <c r="C165" s="13" t="s">
        <v>370</v>
      </c>
      <c r="D165" s="22" t="s">
        <v>370</v>
      </c>
      <c r="E165" s="5" t="s">
        <v>44</v>
      </c>
      <c r="F165" s="23">
        <v>1999</v>
      </c>
      <c r="G165" s="24">
        <v>42.062615139999998</v>
      </c>
      <c r="H165" s="24">
        <v>-83.127804370000007</v>
      </c>
      <c r="I165" s="25"/>
      <c r="J165" s="25"/>
      <c r="L165" s="26">
        <v>6.3</v>
      </c>
      <c r="M165" s="17">
        <f t="shared" si="4"/>
        <v>1</v>
      </c>
      <c r="N165" s="1">
        <v>170</v>
      </c>
      <c r="O165" s="18">
        <v>124</v>
      </c>
      <c r="P165" s="19">
        <v>2.867896463992655</v>
      </c>
      <c r="Q165" s="20">
        <v>6.3000000000000007</v>
      </c>
      <c r="R165" s="19">
        <v>1.9698403172820198</v>
      </c>
      <c r="S165" s="19">
        <v>0.79238304338920684</v>
      </c>
      <c r="T165" s="19">
        <v>1.8812550689041381</v>
      </c>
      <c r="U165" s="19">
        <v>3.151147376202093</v>
      </c>
      <c r="V165" s="19">
        <v>1.5216707298360075</v>
      </c>
      <c r="W165" s="19">
        <v>1.7207284425466307</v>
      </c>
      <c r="X165" s="19">
        <v>4.0725165200165039</v>
      </c>
      <c r="Y165" s="19">
        <v>14.571479420144589</v>
      </c>
      <c r="Z165" s="19">
        <v>2.7422532363723096</v>
      </c>
      <c r="AA165" s="19">
        <v>0.2461940459375265</v>
      </c>
      <c r="AB165" s="19">
        <v>15.491094578507022</v>
      </c>
      <c r="AC165" s="19">
        <v>1.1136183772547694</v>
      </c>
      <c r="AD165" s="19">
        <v>3.723621369890973</v>
      </c>
      <c r="AE165" s="19">
        <v>5.244133988449958</v>
      </c>
      <c r="AF165" s="19">
        <v>5.6649753680231258</v>
      </c>
      <c r="AG165" s="19">
        <v>14.774597690665503</v>
      </c>
      <c r="AH165" s="19">
        <v>12.465727313445077</v>
      </c>
      <c r="AI165" s="19">
        <v>14.526590969041617</v>
      </c>
      <c r="AJ165" s="19">
        <v>9.0931526359167734</v>
      </c>
      <c r="AK165" s="19">
        <v>8.0041037791852023</v>
      </c>
      <c r="AL165" s="19">
        <v>5.3914003632512291</v>
      </c>
      <c r="AM165" s="19">
        <v>4.5786494328526599</v>
      </c>
      <c r="AN165" s="19">
        <v>1.3679833290439765</v>
      </c>
      <c r="AO165" s="19">
        <v>5.9140806017819099</v>
      </c>
      <c r="AP165" s="19">
        <v>6.9373631735788344</v>
      </c>
      <c r="AQ165" s="19">
        <v>0.61539489869724695</v>
      </c>
    </row>
    <row r="166" spans="1:43">
      <c r="A166" s="21">
        <v>28</v>
      </c>
      <c r="B166" s="5" t="s">
        <v>371</v>
      </c>
      <c r="C166" s="13" t="s">
        <v>372</v>
      </c>
      <c r="D166" s="22" t="s">
        <v>372</v>
      </c>
      <c r="E166" s="5" t="s">
        <v>44</v>
      </c>
      <c r="F166" s="23">
        <v>1999</v>
      </c>
      <c r="G166" s="24">
        <v>42.05685055</v>
      </c>
      <c r="H166" s="24">
        <v>-83.125907909999995</v>
      </c>
      <c r="I166" s="25"/>
      <c r="J166" s="25"/>
      <c r="L166" s="26">
        <v>1.1599999999999999</v>
      </c>
      <c r="M166" s="17">
        <f t="shared" si="4"/>
        <v>1</v>
      </c>
      <c r="N166" s="1">
        <v>48</v>
      </c>
      <c r="O166" s="18">
        <v>125</v>
      </c>
      <c r="P166" s="19">
        <v>1.1110313123887439</v>
      </c>
      <c r="Q166" s="20">
        <v>1.1600000000000001</v>
      </c>
      <c r="R166" s="19">
        <v>0.45382323990877566</v>
      </c>
      <c r="S166" s="19">
        <v>8.2383448240479829E-2</v>
      </c>
      <c r="T166" s="19">
        <v>0.58890722434182263</v>
      </c>
      <c r="U166" s="19">
        <v>1.2801917422015068</v>
      </c>
      <c r="V166" s="19">
        <v>0.42330018928493063</v>
      </c>
      <c r="W166" s="19">
        <v>0.49813233860041839</v>
      </c>
      <c r="X166" s="19">
        <v>2.2815489435496121</v>
      </c>
      <c r="Y166" s="19">
        <v>12.082033872047298</v>
      </c>
      <c r="Z166" s="19">
        <v>0.64664722082674686</v>
      </c>
      <c r="AA166" s="19">
        <v>2.7408602042130055E-4</v>
      </c>
      <c r="AB166" s="19">
        <v>15.369573571929694</v>
      </c>
      <c r="AC166" s="19">
        <v>0.25556842912367661</v>
      </c>
      <c r="AD166" s="19">
        <v>2.2985796451292773</v>
      </c>
      <c r="AE166" s="19">
        <v>3.4645140933157639</v>
      </c>
      <c r="AF166" s="19">
        <v>3.8995251432515508</v>
      </c>
      <c r="AG166" s="19">
        <v>13.458014920012484</v>
      </c>
      <c r="AH166" s="19">
        <v>9.6344240775097862</v>
      </c>
      <c r="AI166" s="19">
        <v>13.284221348741127</v>
      </c>
      <c r="AJ166" s="19">
        <v>7.7302854637343401</v>
      </c>
      <c r="AK166" s="19">
        <v>6.6109442524456128</v>
      </c>
      <c r="AL166" s="19">
        <v>3.4384212363454623</v>
      </c>
      <c r="AM166" s="19">
        <v>2.8838264697111646</v>
      </c>
      <c r="AN166" s="19">
        <v>1.193942206960827</v>
      </c>
      <c r="AO166" s="19">
        <v>4.5317881461029783</v>
      </c>
      <c r="AP166" s="19">
        <v>5.1735478432572251</v>
      </c>
      <c r="AQ166" s="19">
        <v>8.4467644448298504E-2</v>
      </c>
    </row>
    <row r="167" spans="1:43">
      <c r="A167" s="4">
        <v>29</v>
      </c>
      <c r="B167" s="5" t="s">
        <v>373</v>
      </c>
      <c r="C167" s="13" t="s">
        <v>374</v>
      </c>
      <c r="D167" s="22" t="s">
        <v>374</v>
      </c>
      <c r="E167" s="5" t="s">
        <v>44</v>
      </c>
      <c r="F167" s="23">
        <v>1999</v>
      </c>
      <c r="G167" s="24">
        <v>42.057144090000001</v>
      </c>
      <c r="H167" s="24">
        <v>-83.142050760000004</v>
      </c>
      <c r="I167" s="25"/>
      <c r="J167" s="25"/>
      <c r="L167" s="26">
        <v>3.2</v>
      </c>
      <c r="M167" s="17">
        <f t="shared" si="4"/>
        <v>1</v>
      </c>
      <c r="N167" s="1">
        <v>202</v>
      </c>
      <c r="O167" s="18">
        <v>126</v>
      </c>
      <c r="P167" s="19">
        <v>2.0703893278913981</v>
      </c>
      <c r="Q167" s="20">
        <v>3.2</v>
      </c>
      <c r="R167" s="19">
        <v>1.7041566365412921</v>
      </c>
      <c r="S167" s="19">
        <v>3.1395196275534325E-2</v>
      </c>
      <c r="T167" s="19">
        <v>1.3269134790901886</v>
      </c>
      <c r="U167" s="19">
        <v>2.2551791520624556</v>
      </c>
      <c r="V167" s="19">
        <v>1.1083383042850539</v>
      </c>
      <c r="W167" s="19">
        <v>2.8100143093470864</v>
      </c>
      <c r="X167" s="19">
        <v>7.1744882450479288</v>
      </c>
      <c r="Y167" s="19">
        <v>13.005770737406447</v>
      </c>
      <c r="Z167" s="19">
        <v>1.6183413455759912</v>
      </c>
      <c r="AA167" s="19">
        <v>3.0293415161399169E-4</v>
      </c>
      <c r="AB167" s="19">
        <v>16.04915027865577</v>
      </c>
      <c r="AC167" s="19">
        <v>1.5781547428076421</v>
      </c>
      <c r="AD167" s="19">
        <v>2.8554461615364848</v>
      </c>
      <c r="AE167" s="19">
        <v>5.3586218290189382</v>
      </c>
      <c r="AF167" s="19">
        <v>5.6048418412816856</v>
      </c>
      <c r="AG167" s="19">
        <v>14.194886439456818</v>
      </c>
      <c r="AH167" s="19">
        <v>10.8685831740527</v>
      </c>
      <c r="AI167" s="19">
        <v>14.395652441527547</v>
      </c>
      <c r="AJ167" s="19">
        <v>8.2115729150470926</v>
      </c>
      <c r="AK167" s="19">
        <v>7.5655497467847503</v>
      </c>
      <c r="AL167" s="19">
        <v>4.6816667731294386</v>
      </c>
      <c r="AM167" s="19">
        <v>4.9228351767404757</v>
      </c>
      <c r="AN167" s="19">
        <v>1.0934428782171017</v>
      </c>
      <c r="AO167" s="19">
        <v>4.7826699434952618</v>
      </c>
      <c r="AP167" s="19">
        <v>6.9466447572920336</v>
      </c>
      <c r="AQ167" s="19">
        <v>0.57020519312353002</v>
      </c>
    </row>
    <row r="168" spans="1:43">
      <c r="A168" s="21">
        <v>30</v>
      </c>
      <c r="B168" s="5" t="s">
        <v>375</v>
      </c>
      <c r="C168" s="13" t="s">
        <v>376</v>
      </c>
      <c r="D168" s="22" t="s">
        <v>376</v>
      </c>
      <c r="E168" s="5" t="s">
        <v>44</v>
      </c>
      <c r="F168" s="23">
        <v>1999</v>
      </c>
      <c r="G168" s="24">
        <v>42.06360797</v>
      </c>
      <c r="H168" s="24">
        <v>-83.135427500000006</v>
      </c>
      <c r="I168" s="25"/>
      <c r="J168" s="25"/>
      <c r="L168" s="26">
        <v>3.03</v>
      </c>
      <c r="M168" s="17">
        <f t="shared" si="4"/>
        <v>1</v>
      </c>
      <c r="N168" s="1">
        <v>178</v>
      </c>
      <c r="O168" s="18">
        <v>127</v>
      </c>
      <c r="P168" s="19">
        <v>2.0107798387532427</v>
      </c>
      <c r="Q168" s="20">
        <v>3.0300000000000002</v>
      </c>
      <c r="R168" s="19">
        <v>1.8373532407181514</v>
      </c>
      <c r="S168" s="19">
        <v>0.77738285192807077</v>
      </c>
      <c r="T168" s="19">
        <v>1.4916645760757488</v>
      </c>
      <c r="U168" s="19">
        <v>2.6820852514982056</v>
      </c>
      <c r="V168" s="19">
        <v>1.0482643479954403</v>
      </c>
      <c r="W168" s="19">
        <v>1.8348833233129476</v>
      </c>
      <c r="X168" s="19">
        <v>6.2167979667139814</v>
      </c>
      <c r="Y168" s="19">
        <v>12.982568365612751</v>
      </c>
      <c r="Z168" s="19">
        <v>2.0838125415519539</v>
      </c>
      <c r="AA168" s="19">
        <v>1.5868772683289012E-4</v>
      </c>
      <c r="AB168" s="19">
        <v>15.331590635252191</v>
      </c>
      <c r="AC168" s="19">
        <v>0.79714573028718183</v>
      </c>
      <c r="AD168" s="19">
        <v>2.7961117269809561</v>
      </c>
      <c r="AE168" s="19">
        <v>4.2884793701982513</v>
      </c>
      <c r="AF168" s="19">
        <v>4.8330400905710631</v>
      </c>
      <c r="AG168" s="19">
        <v>13.962063967415309</v>
      </c>
      <c r="AH168" s="19">
        <v>10.76075005615604</v>
      </c>
      <c r="AI168" s="19">
        <v>14.262709014640537</v>
      </c>
      <c r="AJ168" s="19">
        <v>8.1517696563095186</v>
      </c>
      <c r="AK168" s="19">
        <v>7.0962319356718897</v>
      </c>
      <c r="AL168" s="19">
        <v>4.3210674838255123</v>
      </c>
      <c r="AM168" s="19">
        <v>3.9420431195550627</v>
      </c>
      <c r="AN168" s="19">
        <v>0.65921524893301764</v>
      </c>
      <c r="AO168" s="19">
        <v>4.6145114313908975</v>
      </c>
      <c r="AP168" s="19">
        <v>6.1222237085867999</v>
      </c>
      <c r="AQ168" s="19">
        <v>0.35235795718349305</v>
      </c>
    </row>
    <row r="169" spans="1:43">
      <c r="A169" s="4">
        <v>31</v>
      </c>
      <c r="B169" s="5" t="s">
        <v>377</v>
      </c>
      <c r="C169" s="13" t="s">
        <v>378</v>
      </c>
      <c r="D169" s="22" t="s">
        <v>378</v>
      </c>
      <c r="E169" s="5" t="s">
        <v>44</v>
      </c>
      <c r="F169" s="23">
        <v>1999</v>
      </c>
      <c r="G169" s="24">
        <v>42.0831059</v>
      </c>
      <c r="H169" s="24">
        <v>-83.151773800000001</v>
      </c>
      <c r="I169" s="25"/>
      <c r="J169" s="25"/>
      <c r="L169" s="26">
        <v>1.79</v>
      </c>
      <c r="M169" s="17">
        <f t="shared" si="4"/>
        <v>1</v>
      </c>
      <c r="N169" s="1">
        <v>134</v>
      </c>
      <c r="O169" s="18">
        <v>128</v>
      </c>
      <c r="P169" s="19">
        <v>1.4802651220544629</v>
      </c>
      <c r="Q169" s="20">
        <v>1.79</v>
      </c>
      <c r="R169" s="19">
        <v>0.89848675349613261</v>
      </c>
      <c r="S169" s="19">
        <v>0.52228546974708345</v>
      </c>
      <c r="T169" s="19">
        <v>0.82959285054755061</v>
      </c>
      <c r="U169" s="19">
        <v>1.8178109465230712</v>
      </c>
      <c r="V169" s="19">
        <v>0.61175067868842181</v>
      </c>
      <c r="W169" s="19">
        <v>1.4558031091901935</v>
      </c>
      <c r="X169" s="19">
        <v>4.7668229475655783</v>
      </c>
      <c r="Y169" s="19">
        <v>12.832315938790659</v>
      </c>
      <c r="Z169" s="19">
        <v>4.9713241831257085</v>
      </c>
      <c r="AA169" s="19">
        <v>6.0417468699126751</v>
      </c>
      <c r="AB169" s="19">
        <v>15.134960139447564</v>
      </c>
      <c r="AC169" s="19">
        <v>1.4192009612855141</v>
      </c>
      <c r="AD169" s="19">
        <v>2.6035136486199559</v>
      </c>
      <c r="AE169" s="19">
        <v>4.0672366903186719</v>
      </c>
      <c r="AF169" s="19">
        <v>4.5416535401695013</v>
      </c>
      <c r="AG169" s="19">
        <v>13.596458133659404</v>
      </c>
      <c r="AH169" s="19">
        <v>10.677532423570186</v>
      </c>
      <c r="AI169" s="19">
        <v>13.817828121257735</v>
      </c>
      <c r="AJ169" s="19">
        <v>7.8238166799484619</v>
      </c>
      <c r="AK169" s="19">
        <v>7.3088024596859018</v>
      </c>
      <c r="AL169" s="19">
        <v>3.9861962575764323</v>
      </c>
      <c r="AM169" s="19">
        <v>3.3577598147776064</v>
      </c>
      <c r="AN169" s="19">
        <v>4.7972776197513918</v>
      </c>
      <c r="AO169" s="19">
        <v>4.5541194671610317</v>
      </c>
      <c r="AP169" s="19">
        <v>5.6918740834426815</v>
      </c>
      <c r="AQ169" s="19">
        <v>0.1721707509306277</v>
      </c>
    </row>
    <row r="170" spans="1:43">
      <c r="A170" s="21">
        <v>32</v>
      </c>
      <c r="B170" s="5" t="s">
        <v>379</v>
      </c>
      <c r="C170" s="13" t="s">
        <v>380</v>
      </c>
      <c r="D170" s="22" t="s">
        <v>380</v>
      </c>
      <c r="E170" s="5" t="s">
        <v>44</v>
      </c>
      <c r="F170" s="23">
        <v>1999</v>
      </c>
      <c r="G170" s="24">
        <v>42.34634114</v>
      </c>
      <c r="H170" s="24">
        <v>-82.987056769999995</v>
      </c>
      <c r="I170" s="25"/>
      <c r="J170" s="25"/>
      <c r="L170" s="26">
        <v>1.99</v>
      </c>
      <c r="M170" s="17">
        <f t="shared" si="4"/>
        <v>1</v>
      </c>
      <c r="N170" s="1">
        <v>116</v>
      </c>
      <c r="O170" s="18">
        <v>13</v>
      </c>
      <c r="P170" s="19">
        <v>1.5801454844233804</v>
      </c>
      <c r="Q170" s="20">
        <v>1.9899999999999998</v>
      </c>
      <c r="R170" s="19">
        <v>0.71355653926370266</v>
      </c>
      <c r="S170" s="19">
        <v>0.1748505351603164</v>
      </c>
      <c r="T170" s="19">
        <v>0.77923777353418011</v>
      </c>
      <c r="U170" s="19">
        <v>1.5528453432461307</v>
      </c>
      <c r="V170" s="19">
        <v>0.4562255511172123</v>
      </c>
      <c r="W170" s="19">
        <v>1.1859075216976755</v>
      </c>
      <c r="X170" s="19">
        <v>3.1804724299550666</v>
      </c>
      <c r="Y170" s="19">
        <v>12.507136413137591</v>
      </c>
      <c r="Z170" s="19">
        <v>4.6356765072315733</v>
      </c>
      <c r="AA170" s="19">
        <v>5.5700979712685541</v>
      </c>
      <c r="AB170" s="19">
        <v>14.212190617856077</v>
      </c>
      <c r="AC170" s="19">
        <v>1.1897080451196875</v>
      </c>
      <c r="AD170" s="19">
        <v>2.7561987424088992</v>
      </c>
      <c r="AE170" s="19">
        <v>3.8090543828784873</v>
      </c>
      <c r="AF170" s="19">
        <v>3.9300318587127423</v>
      </c>
      <c r="AG170" s="19">
        <v>13.190896812648534</v>
      </c>
      <c r="AH170" s="19">
        <v>10.06779184878935</v>
      </c>
      <c r="AI170" s="19">
        <v>13.491352820787579</v>
      </c>
      <c r="AJ170" s="19">
        <v>7.2025346702685953</v>
      </c>
      <c r="AK170" s="19">
        <v>6.6932976386666176</v>
      </c>
      <c r="AL170" s="19">
        <v>3.8242756871226353</v>
      </c>
      <c r="AM170" s="19">
        <v>2.987420359649509</v>
      </c>
      <c r="AN170" s="19">
        <v>4.4557437621416662</v>
      </c>
      <c r="AO170" s="19">
        <v>4.5099034894151</v>
      </c>
      <c r="AP170" s="19">
        <v>5.2834713746383262</v>
      </c>
      <c r="AQ170" s="19">
        <v>0.15354213077853027</v>
      </c>
    </row>
    <row r="171" spans="1:43">
      <c r="A171" s="4">
        <v>33</v>
      </c>
      <c r="B171" s="5" t="s">
        <v>381</v>
      </c>
      <c r="C171" s="13" t="s">
        <v>382</v>
      </c>
      <c r="D171" s="22" t="s">
        <v>382</v>
      </c>
      <c r="E171" s="5" t="s">
        <v>44</v>
      </c>
      <c r="F171" s="23">
        <v>1999</v>
      </c>
      <c r="G171" s="24">
        <v>42.0794359</v>
      </c>
      <c r="H171" s="24">
        <v>-83.134217530000001</v>
      </c>
      <c r="I171" s="25"/>
      <c r="J171" s="25"/>
      <c r="L171" s="26">
        <v>1.05</v>
      </c>
      <c r="M171" s="17">
        <f t="shared" si="4"/>
        <v>1</v>
      </c>
      <c r="N171" s="1">
        <v>161</v>
      </c>
      <c r="O171" s="18">
        <v>129</v>
      </c>
      <c r="P171" s="19">
        <v>1.0356239097307212</v>
      </c>
      <c r="Q171" s="20">
        <v>1.0499999999999998</v>
      </c>
      <c r="R171" s="19">
        <v>1.1369130774793728</v>
      </c>
      <c r="S171" s="19">
        <v>1.0923375347115469</v>
      </c>
      <c r="T171" s="19">
        <v>0.8207220403603005</v>
      </c>
      <c r="U171" s="19">
        <v>1.0411102845646598</v>
      </c>
      <c r="V171" s="19">
        <v>1.8634174139050975E-2</v>
      </c>
      <c r="W171" s="19">
        <v>0.76243797177015349</v>
      </c>
      <c r="X171" s="19">
        <v>3.7241070399765444</v>
      </c>
      <c r="Y171" s="19">
        <v>12.458941696831499</v>
      </c>
      <c r="Z171" s="19">
        <v>4.6729796510210448</v>
      </c>
      <c r="AA171" s="19">
        <v>5.7231980470444306</v>
      </c>
      <c r="AB171" s="19">
        <v>13.778304371392768</v>
      </c>
      <c r="AC171" s="19">
        <v>1.2593773235099734</v>
      </c>
      <c r="AD171" s="19">
        <v>2.7776169679549536</v>
      </c>
      <c r="AE171" s="19">
        <v>4.1212362090540928</v>
      </c>
      <c r="AF171" s="19">
        <v>4.0721179110929127</v>
      </c>
      <c r="AG171" s="19">
        <v>13.257841176586199</v>
      </c>
      <c r="AH171" s="19">
        <v>9.5895327622117872</v>
      </c>
      <c r="AI171" s="19">
        <v>12.925818460852312</v>
      </c>
      <c r="AJ171" s="19">
        <v>7.2032174502350186</v>
      </c>
      <c r="AK171" s="19">
        <v>6.9262495559209185</v>
      </c>
      <c r="AL171" s="19">
        <v>3.7351320196412403</v>
      </c>
      <c r="AM171" s="19">
        <v>2.5040056968172699</v>
      </c>
      <c r="AN171" s="19">
        <v>4.4773333015644328</v>
      </c>
      <c r="AO171" s="19">
        <v>4.5312177433416396</v>
      </c>
      <c r="AP171" s="19">
        <v>5.2095522808651262</v>
      </c>
      <c r="AQ171" s="19">
        <v>0.14456149733224735</v>
      </c>
    </row>
    <row r="172" spans="1:43">
      <c r="A172" s="21">
        <v>34</v>
      </c>
      <c r="B172" s="5" t="s">
        <v>383</v>
      </c>
      <c r="C172" s="13" t="s">
        <v>384</v>
      </c>
      <c r="D172" s="22" t="s">
        <v>384</v>
      </c>
      <c r="E172" s="5" t="s">
        <v>44</v>
      </c>
      <c r="F172" s="23">
        <v>1991</v>
      </c>
      <c r="G172" s="24">
        <v>42.320277779999998</v>
      </c>
      <c r="H172" s="24">
        <v>-83.041944444444397</v>
      </c>
      <c r="I172" s="25"/>
      <c r="J172" s="25"/>
      <c r="L172" s="37">
        <v>2.8</v>
      </c>
    </row>
    <row r="173" spans="1:43">
      <c r="A173" s="4">
        <v>35</v>
      </c>
      <c r="B173" s="5" t="s">
        <v>385</v>
      </c>
      <c r="C173" s="13" t="s">
        <v>386</v>
      </c>
      <c r="D173" s="22" t="s">
        <v>386</v>
      </c>
      <c r="E173" s="5" t="s">
        <v>44</v>
      </c>
      <c r="F173" s="23">
        <v>1999</v>
      </c>
      <c r="G173" s="24">
        <v>42.081957930000002</v>
      </c>
      <c r="H173" s="24">
        <v>-83.127906789999997</v>
      </c>
      <c r="I173" s="25"/>
      <c r="J173" s="25"/>
      <c r="L173" s="26">
        <v>4.99</v>
      </c>
      <c r="M173" s="17">
        <f t="shared" ref="M173:M183" si="5">(L173=Q173)*1</f>
        <v>1</v>
      </c>
      <c r="N173" s="1">
        <v>158</v>
      </c>
      <c r="O173" s="18">
        <v>130</v>
      </c>
      <c r="P173" s="19">
        <v>2.5825560030140609</v>
      </c>
      <c r="Q173" s="20">
        <v>4.9899999999999993</v>
      </c>
      <c r="R173" s="19">
        <v>2.0566675019643528</v>
      </c>
      <c r="S173" s="19">
        <v>0.97674234646846614</v>
      </c>
      <c r="T173" s="19">
        <v>1.9376637501045502</v>
      </c>
      <c r="U173" s="19">
        <v>3.226161783588672</v>
      </c>
      <c r="V173" s="19">
        <v>1.5689744258471101</v>
      </c>
      <c r="W173" s="19">
        <v>1.7615417472240624</v>
      </c>
      <c r="X173" s="19">
        <v>4.2817743107669575</v>
      </c>
      <c r="Y173" s="19">
        <v>14.374487704813173</v>
      </c>
      <c r="Z173" s="19">
        <v>1.2956742364937901</v>
      </c>
      <c r="AA173" s="19">
        <v>2.5966173850467111E-4</v>
      </c>
      <c r="AB173" s="19">
        <v>15.589248135873364</v>
      </c>
      <c r="AC173" s="19">
        <v>0.81438880659027579</v>
      </c>
      <c r="AD173" s="19">
        <v>3.5255274096655236</v>
      </c>
      <c r="AE173" s="19">
        <v>5.1142117300234942</v>
      </c>
      <c r="AF173" s="19">
        <v>5.6942973907218253</v>
      </c>
      <c r="AG173" s="19">
        <v>14.71928930612855</v>
      </c>
      <c r="AH173" s="19">
        <v>12.243648278453206</v>
      </c>
      <c r="AI173" s="19">
        <v>14.408936932529405</v>
      </c>
      <c r="AJ173" s="19">
        <v>8.7887942040101947</v>
      </c>
      <c r="AK173" s="19">
        <v>7.8868769037113955</v>
      </c>
      <c r="AL173" s="19">
        <v>5.1962511337005877</v>
      </c>
      <c r="AM173" s="19">
        <v>4.3093402869343613</v>
      </c>
      <c r="AN173" s="19">
        <v>0.61740546618858483</v>
      </c>
      <c r="AO173" s="19">
        <v>5.8201583309717462</v>
      </c>
      <c r="AP173" s="19">
        <v>6.72856988651629</v>
      </c>
      <c r="AQ173" s="19">
        <v>0.6256445080961851</v>
      </c>
    </row>
    <row r="174" spans="1:43">
      <c r="A174" s="21">
        <v>36</v>
      </c>
      <c r="B174" s="5" t="s">
        <v>387</v>
      </c>
      <c r="C174" s="13" t="s">
        <v>388</v>
      </c>
      <c r="D174" s="22" t="s">
        <v>388</v>
      </c>
      <c r="E174" s="5" t="s">
        <v>44</v>
      </c>
      <c r="F174" s="23">
        <v>1999</v>
      </c>
      <c r="G174" s="24">
        <v>42.07657081</v>
      </c>
      <c r="H174" s="24">
        <v>-83.124112299999993</v>
      </c>
      <c r="I174" s="25"/>
      <c r="J174" s="25"/>
      <c r="L174" s="26">
        <v>5.77</v>
      </c>
      <c r="M174" s="17">
        <f t="shared" si="5"/>
        <v>1</v>
      </c>
      <c r="N174" s="1">
        <v>152</v>
      </c>
      <c r="O174" s="18">
        <v>131</v>
      </c>
      <c r="P174" s="19">
        <v>2.7591558338002722</v>
      </c>
      <c r="Q174" s="20">
        <v>5.7700000000000005</v>
      </c>
      <c r="R174" s="19">
        <v>2.065774263122746</v>
      </c>
      <c r="S174" s="19">
        <v>0.75850808885219834</v>
      </c>
      <c r="T174" s="19">
        <v>1.9470096874666101</v>
      </c>
      <c r="U174" s="19">
        <v>3.3886635606686335</v>
      </c>
      <c r="V174" s="19">
        <v>1.6822227661906186</v>
      </c>
      <c r="W174" s="19">
        <v>1.7263088333306202</v>
      </c>
      <c r="X174" s="19">
        <v>4.2015702411317752</v>
      </c>
      <c r="Y174" s="19">
        <v>14.045581353032642</v>
      </c>
      <c r="Z174" s="19">
        <v>2.4530272017760848</v>
      </c>
      <c r="AA174" s="19">
        <v>0.86098336650511564</v>
      </c>
      <c r="AB174" s="19">
        <v>15.574895247028616</v>
      </c>
      <c r="AC174" s="19">
        <v>1.0421938406082976</v>
      </c>
      <c r="AD174" s="19">
        <v>3.4183246492606982</v>
      </c>
      <c r="AE174" s="19">
        <v>4.8472602587804499</v>
      </c>
      <c r="AF174" s="19">
        <v>5.4003184355886731</v>
      </c>
      <c r="AG174" s="19">
        <v>14.52976151621003</v>
      </c>
      <c r="AH174" s="19">
        <v>11.816377187309071</v>
      </c>
      <c r="AI174" s="19">
        <v>14.586571088829844</v>
      </c>
      <c r="AJ174" s="19">
        <v>8.9554149868866979</v>
      </c>
      <c r="AK174" s="19">
        <v>8.0146287661216409</v>
      </c>
      <c r="AL174" s="19">
        <v>5.0956152041709402</v>
      </c>
      <c r="AM174" s="19">
        <v>4.4612470889270739</v>
      </c>
      <c r="AN174" s="19">
        <v>1.4559097650326849</v>
      </c>
      <c r="AO174" s="19">
        <v>5.398388042282944</v>
      </c>
      <c r="AP174" s="19">
        <v>6.6652462019371974</v>
      </c>
      <c r="AQ174" s="19">
        <v>0.67538125189498099</v>
      </c>
    </row>
    <row r="175" spans="1:43">
      <c r="A175" s="4">
        <v>37</v>
      </c>
      <c r="B175" s="5" t="s">
        <v>389</v>
      </c>
      <c r="C175" s="13"/>
      <c r="D175" s="22" t="s">
        <v>390</v>
      </c>
      <c r="E175" s="5" t="s">
        <v>44</v>
      </c>
      <c r="F175" s="23">
        <v>1999</v>
      </c>
      <c r="G175" s="24">
        <v>42.070691009999997</v>
      </c>
      <c r="H175" s="24">
        <v>-83.116760510000006</v>
      </c>
      <c r="I175" s="25"/>
      <c r="J175" s="25"/>
      <c r="L175" s="26">
        <v>0.6</v>
      </c>
      <c r="M175" s="17">
        <f t="shared" si="5"/>
        <v>1</v>
      </c>
      <c r="N175" s="1">
        <v>90</v>
      </c>
      <c r="O175" s="18">
        <v>132</v>
      </c>
      <c r="P175" s="19">
        <v>0.67807190511263771</v>
      </c>
      <c r="Q175" s="20">
        <v>0.60000000000000009</v>
      </c>
      <c r="R175" s="19">
        <v>0.21758788514811994</v>
      </c>
      <c r="S175" s="19">
        <v>0.25789864298330617</v>
      </c>
      <c r="T175" s="19">
        <v>0.40941285414737005</v>
      </c>
      <c r="U175" s="19">
        <v>1.0489263587934494</v>
      </c>
      <c r="V175" s="19">
        <v>2.5737561413608275E-2</v>
      </c>
      <c r="W175" s="19">
        <v>0.43373524740370484</v>
      </c>
      <c r="X175" s="19">
        <v>2.6732458877584784</v>
      </c>
      <c r="Y175" s="19">
        <v>11.110856819914739</v>
      </c>
      <c r="Z175" s="19">
        <v>3.9747380889281296</v>
      </c>
      <c r="AA175" s="19">
        <v>4.9321093884157223</v>
      </c>
      <c r="AB175" s="19">
        <v>13.711402353974872</v>
      </c>
      <c r="AC175" s="19">
        <v>0.66516662874182553</v>
      </c>
      <c r="AD175" s="19">
        <v>1.9450181358829866</v>
      </c>
      <c r="AE175" s="19">
        <v>2.6695843877290986</v>
      </c>
      <c r="AF175" s="19">
        <v>2.9058341899489575</v>
      </c>
      <c r="AG175" s="19">
        <v>12.476374969427004</v>
      </c>
      <c r="AH175" s="19">
        <v>8.2593182481169816</v>
      </c>
      <c r="AI175" s="19">
        <v>11.91095676276635</v>
      </c>
      <c r="AJ175" s="19">
        <v>7.0234246273476373</v>
      </c>
      <c r="AK175" s="19">
        <v>6.4436456753005418</v>
      </c>
      <c r="AL175" s="19">
        <v>2.8330612852911727</v>
      </c>
      <c r="AM175" s="19">
        <v>2.5392145700034643</v>
      </c>
      <c r="AN175" s="19">
        <v>3.8866096340676748</v>
      </c>
      <c r="AO175" s="19">
        <v>3.2655898130756587</v>
      </c>
      <c r="AP175" s="19">
        <v>4.4103828221179517</v>
      </c>
      <c r="AQ175" s="19">
        <v>6.0489003558657405E-2</v>
      </c>
    </row>
    <row r="176" spans="1:43">
      <c r="A176" s="21">
        <v>38</v>
      </c>
      <c r="B176" s="5" t="s">
        <v>391</v>
      </c>
      <c r="C176" s="13" t="s">
        <v>392</v>
      </c>
      <c r="D176" s="22" t="s">
        <v>392</v>
      </c>
      <c r="E176" s="5" t="s">
        <v>44</v>
      </c>
      <c r="F176" s="23">
        <v>1999</v>
      </c>
      <c r="G176" s="24">
        <v>42.087412630000003</v>
      </c>
      <c r="H176" s="24">
        <v>-83.131933910000001</v>
      </c>
      <c r="I176" s="25"/>
      <c r="J176" s="25"/>
      <c r="L176" s="26">
        <v>1.55</v>
      </c>
      <c r="M176" s="17">
        <f t="shared" si="5"/>
        <v>1</v>
      </c>
      <c r="N176" s="1">
        <v>91</v>
      </c>
      <c r="O176" s="18">
        <v>133</v>
      </c>
      <c r="P176" s="19">
        <v>1.3504972470841332</v>
      </c>
      <c r="Q176" s="20">
        <v>1.5499999999999998</v>
      </c>
      <c r="R176" s="19">
        <v>0.80027799984542591</v>
      </c>
      <c r="S176" s="19">
        <v>0.21172994701740677</v>
      </c>
      <c r="T176" s="19">
        <v>0.70983338113651295</v>
      </c>
      <c r="U176" s="19">
        <v>1.4741981863631768</v>
      </c>
      <c r="V176" s="19">
        <v>0.91858890540584759</v>
      </c>
      <c r="W176" s="19">
        <v>1.0985582560351337</v>
      </c>
      <c r="X176" s="19">
        <v>4.4844476177182404</v>
      </c>
      <c r="Y176" s="19">
        <v>12.16124270010485</v>
      </c>
      <c r="Z176" s="19">
        <v>0.78697375620185572</v>
      </c>
      <c r="AA176" s="19">
        <v>4.9043294502530439E-4</v>
      </c>
      <c r="AB176" s="19">
        <v>14.678554359722996</v>
      </c>
      <c r="AC176" s="19">
        <v>0.41974711842854667</v>
      </c>
      <c r="AD176" s="19">
        <v>2.4999230203824387</v>
      </c>
      <c r="AE176" s="19">
        <v>3.8546749756156071</v>
      </c>
      <c r="AF176" s="19">
        <v>3.846860250244899</v>
      </c>
      <c r="AG176" s="19">
        <v>13.354175619332047</v>
      </c>
      <c r="AH176" s="19">
        <v>9.8600421941759286</v>
      </c>
      <c r="AI176" s="19">
        <v>13.817559163776613</v>
      </c>
      <c r="AJ176" s="19">
        <v>7.155590654608921</v>
      </c>
      <c r="AK176" s="19">
        <v>6.6380888208124835</v>
      </c>
      <c r="AL176" s="19">
        <v>3.5776604909536753</v>
      </c>
      <c r="AM176" s="19">
        <v>2.5216455656789991</v>
      </c>
      <c r="AN176" s="19">
        <v>0.74412307670996169</v>
      </c>
      <c r="AO176" s="19">
        <v>4.7655989794342375</v>
      </c>
      <c r="AP176" s="19">
        <v>5.1232771050556405</v>
      </c>
      <c r="AQ176" s="19">
        <v>0.1350500125551686</v>
      </c>
    </row>
    <row r="177" spans="1:43">
      <c r="A177" s="4">
        <v>39</v>
      </c>
      <c r="B177" s="5" t="s">
        <v>393</v>
      </c>
      <c r="C177" s="13" t="s">
        <v>394</v>
      </c>
      <c r="D177" s="22" t="s">
        <v>394</v>
      </c>
      <c r="E177" s="5" t="s">
        <v>44</v>
      </c>
      <c r="F177" s="23">
        <v>1999</v>
      </c>
      <c r="G177" s="24">
        <v>42.086641149999998</v>
      </c>
      <c r="H177" s="24">
        <v>-83.174864830000004</v>
      </c>
      <c r="I177" s="25"/>
      <c r="J177" s="25"/>
      <c r="L177" s="26">
        <v>0.56999999999999995</v>
      </c>
      <c r="M177" s="17">
        <f t="shared" si="5"/>
        <v>1</v>
      </c>
      <c r="N177" s="1">
        <v>154</v>
      </c>
      <c r="O177" s="18">
        <v>134</v>
      </c>
      <c r="P177" s="19">
        <v>0.65076455911690234</v>
      </c>
      <c r="Q177" s="20">
        <v>0.57000000000000006</v>
      </c>
      <c r="R177" s="19">
        <v>0.2194665747950191</v>
      </c>
      <c r="S177" s="19">
        <v>4.1242982231881338E-2</v>
      </c>
      <c r="T177" s="19">
        <v>0.15535066819001339</v>
      </c>
      <c r="U177" s="19">
        <v>0.52093978652518147</v>
      </c>
      <c r="V177" s="19">
        <v>0.25145310190496778</v>
      </c>
      <c r="W177" s="19">
        <v>1.0070120263653892</v>
      </c>
      <c r="X177" s="19">
        <v>4.5928756446020813</v>
      </c>
      <c r="Y177" s="19">
        <v>11.986145012916982</v>
      </c>
      <c r="Z177" s="19">
        <v>4.5325577787807934</v>
      </c>
      <c r="AA177" s="19">
        <v>5.6929617216000654</v>
      </c>
      <c r="AB177" s="19">
        <v>13.34024063268726</v>
      </c>
      <c r="AC177" s="19">
        <v>1.2432479320794381</v>
      </c>
      <c r="AD177" s="19">
        <v>2.380879295600383</v>
      </c>
      <c r="AE177" s="19">
        <v>3.8850650634423101</v>
      </c>
      <c r="AF177" s="19">
        <v>3.5067252669139126</v>
      </c>
      <c r="AG177" s="19">
        <v>13.473461482244728</v>
      </c>
      <c r="AH177" s="19">
        <v>8.818096073633841</v>
      </c>
      <c r="AI177" s="19">
        <v>12.404840778837464</v>
      </c>
      <c r="AJ177" s="19">
        <v>6.8675534223745318</v>
      </c>
      <c r="AK177" s="19">
        <v>7.7972264774035045</v>
      </c>
      <c r="AL177" s="19">
        <v>3.6555271328222303</v>
      </c>
      <c r="AM177" s="19">
        <v>3.0212705107646407</v>
      </c>
      <c r="AN177" s="19">
        <v>4.5166692279232334</v>
      </c>
      <c r="AO177" s="19">
        <v>4.2884537674584502</v>
      </c>
      <c r="AP177" s="19">
        <v>5.480225403202156</v>
      </c>
      <c r="AQ177" s="19">
        <v>6.6395003190658219E-2</v>
      </c>
    </row>
    <row r="178" spans="1:43">
      <c r="A178" s="21">
        <v>40</v>
      </c>
      <c r="B178" s="5" t="s">
        <v>395</v>
      </c>
      <c r="C178" s="13" t="s">
        <v>396</v>
      </c>
      <c r="D178" s="22" t="s">
        <v>396</v>
      </c>
      <c r="E178" s="5" t="s">
        <v>44</v>
      </c>
      <c r="F178" s="23">
        <v>1999</v>
      </c>
      <c r="G178" s="24">
        <v>42.090164489999999</v>
      </c>
      <c r="H178" s="24">
        <v>-83.172385689999999</v>
      </c>
      <c r="I178" s="25"/>
      <c r="J178" s="25"/>
      <c r="L178" s="26">
        <v>3.89</v>
      </c>
      <c r="M178" s="17">
        <f t="shared" si="5"/>
        <v>1</v>
      </c>
      <c r="N178" s="1">
        <v>216</v>
      </c>
      <c r="O178" s="18">
        <v>135</v>
      </c>
      <c r="P178" s="19">
        <v>2.2898344651775093</v>
      </c>
      <c r="Q178" s="20">
        <v>3.8900000000000006</v>
      </c>
      <c r="R178" s="19">
        <v>3.7953340264749214</v>
      </c>
      <c r="S178" s="19">
        <v>2.7154051503726649E-2</v>
      </c>
      <c r="T178" s="19">
        <v>2.9142167294795644</v>
      </c>
      <c r="U178" s="19">
        <v>4.338510615767305</v>
      </c>
      <c r="V178" s="19">
        <v>3.4202301083124063</v>
      </c>
      <c r="W178" s="19">
        <v>5.6246913425261873</v>
      </c>
      <c r="X178" s="19">
        <v>10.219868293040303</v>
      </c>
      <c r="Y178" s="19">
        <v>12.344482924767222</v>
      </c>
      <c r="Z178" s="19">
        <v>2.2488349130844929</v>
      </c>
      <c r="AA178" s="19">
        <v>0.50662214179750742</v>
      </c>
      <c r="AB178" s="19">
        <v>14.3731538422178</v>
      </c>
      <c r="AC178" s="19">
        <v>1.1127384275858105</v>
      </c>
      <c r="AD178" s="19">
        <v>2.9585701146159966</v>
      </c>
      <c r="AE178" s="19">
        <v>4.7865029757012723</v>
      </c>
      <c r="AF178" s="19">
        <v>4.8848833499608721</v>
      </c>
      <c r="AG178" s="19">
        <v>14.027190361340356</v>
      </c>
      <c r="AH178" s="19">
        <v>10.028277952683972</v>
      </c>
      <c r="AI178" s="19">
        <v>13.591478664566063</v>
      </c>
      <c r="AJ178" s="19">
        <v>7.4639418275457432</v>
      </c>
      <c r="AK178" s="19">
        <v>6.7591841129343591</v>
      </c>
      <c r="AL178" s="19">
        <v>4.4161549730319525</v>
      </c>
      <c r="AM178" s="19">
        <v>4.2279990663472091</v>
      </c>
      <c r="AN178" s="19">
        <v>1.1941802423436987</v>
      </c>
      <c r="AO178" s="19">
        <v>4.3911342068455061</v>
      </c>
      <c r="AP178" s="19">
        <v>6.6264019998366877</v>
      </c>
      <c r="AQ178" s="19">
        <v>0.33328240451875646</v>
      </c>
    </row>
    <row r="179" spans="1:43">
      <c r="A179" s="4">
        <v>41</v>
      </c>
      <c r="B179" s="5" t="s">
        <v>397</v>
      </c>
      <c r="C179" s="13" t="s">
        <v>398</v>
      </c>
      <c r="D179" s="22" t="s">
        <v>398</v>
      </c>
      <c r="E179" s="5" t="s">
        <v>44</v>
      </c>
      <c r="F179" s="23">
        <v>1999</v>
      </c>
      <c r="G179" s="24">
        <v>42.064039819999998</v>
      </c>
      <c r="H179" s="24">
        <v>-83.186033870000003</v>
      </c>
      <c r="I179" s="25"/>
      <c r="J179" s="25"/>
      <c r="L179" s="26">
        <v>2.8</v>
      </c>
      <c r="M179" s="17">
        <f t="shared" si="5"/>
        <v>1</v>
      </c>
      <c r="N179" s="1">
        <v>194</v>
      </c>
      <c r="O179" s="18">
        <v>136</v>
      </c>
      <c r="P179" s="19">
        <v>1.9259994185562233</v>
      </c>
      <c r="Q179" s="20">
        <v>2.8000000000000003</v>
      </c>
      <c r="R179" s="19">
        <v>0.44930025991624251</v>
      </c>
      <c r="S179" s="19">
        <v>3.9840264531791098E-2</v>
      </c>
      <c r="T179" s="19">
        <v>0.27398100031311884</v>
      </c>
      <c r="U179" s="19">
        <v>0.98092534097711781</v>
      </c>
      <c r="V179" s="19">
        <v>0.49384792716083803</v>
      </c>
      <c r="W179" s="19">
        <v>1.2609334534308925</v>
      </c>
      <c r="X179" s="19">
        <v>5.3325318309941805</v>
      </c>
      <c r="Y179" s="19">
        <v>11.913945022734199</v>
      </c>
      <c r="Z179" s="19">
        <v>4.7446234836697272</v>
      </c>
      <c r="AA179" s="19">
        <v>5.8487066954144042</v>
      </c>
      <c r="AB179" s="19">
        <v>13.874979763145484</v>
      </c>
      <c r="AC179" s="19">
        <v>1.5212603782849345</v>
      </c>
      <c r="AD179" s="19">
        <v>2.542162995716601</v>
      </c>
      <c r="AE179" s="19">
        <v>4.4356789328026167</v>
      </c>
      <c r="AF179" s="19">
        <v>4.2632618512877585</v>
      </c>
      <c r="AG179" s="19">
        <v>13.385549121904557</v>
      </c>
      <c r="AH179" s="19">
        <v>9.1312072683094598</v>
      </c>
      <c r="AI179" s="19">
        <v>12.708631585887041</v>
      </c>
      <c r="AJ179" s="19">
        <v>7.3625422084909431</v>
      </c>
      <c r="AK179" s="19">
        <v>6.8416149897819469</v>
      </c>
      <c r="AL179" s="19">
        <v>3.8636413411422952</v>
      </c>
      <c r="AM179" s="19">
        <v>3.6186865778703581</v>
      </c>
      <c r="AN179" s="19">
        <v>4.6629593236889422</v>
      </c>
      <c r="AO179" s="19">
        <v>4.4574174671149187</v>
      </c>
      <c r="AP179" s="19">
        <v>6.6502007015793785</v>
      </c>
      <c r="AQ179" s="19">
        <v>0.44863456911418265</v>
      </c>
    </row>
    <row r="180" spans="1:43">
      <c r="A180" s="21">
        <v>42</v>
      </c>
      <c r="B180" s="5" t="s">
        <v>399</v>
      </c>
      <c r="C180" s="13" t="s">
        <v>400</v>
      </c>
      <c r="D180" s="22" t="s">
        <v>400</v>
      </c>
      <c r="E180" s="5" t="s">
        <v>44</v>
      </c>
      <c r="F180" s="23">
        <v>1999</v>
      </c>
      <c r="G180" s="24">
        <v>42.055996120000003</v>
      </c>
      <c r="H180" s="24">
        <v>-83.185165729999994</v>
      </c>
      <c r="I180" s="25"/>
      <c r="J180" s="25"/>
      <c r="L180" s="26">
        <v>0.56000000000000005</v>
      </c>
      <c r="M180" s="17">
        <f t="shared" si="5"/>
        <v>1</v>
      </c>
      <c r="N180" s="1">
        <v>203</v>
      </c>
      <c r="O180" s="18">
        <v>137</v>
      </c>
      <c r="P180" s="19">
        <v>0.64154602908752367</v>
      </c>
      <c r="Q180" s="20">
        <v>0.56000000000000005</v>
      </c>
      <c r="R180" s="19">
        <v>0.77378762164216053</v>
      </c>
      <c r="S180" s="19">
        <v>1.1759153002087668</v>
      </c>
      <c r="T180" s="19">
        <v>0.12089712237792045</v>
      </c>
      <c r="U180" s="19">
        <v>1.7065785491582945</v>
      </c>
      <c r="V180" s="19">
        <v>7.1955014042037659E-3</v>
      </c>
      <c r="W180" s="19">
        <v>1.0158492540549764</v>
      </c>
      <c r="X180" s="19">
        <v>4.4047448401469982</v>
      </c>
      <c r="Y180" s="19">
        <v>11.36555810101034</v>
      </c>
      <c r="Z180" s="19">
        <v>4.2374647344410734</v>
      </c>
      <c r="AA180" s="19">
        <v>5.2431065601575515</v>
      </c>
      <c r="AB180" s="19">
        <v>13.046763571415937</v>
      </c>
      <c r="AC180" s="19">
        <v>1.2753965096569275</v>
      </c>
      <c r="AD180" s="19">
        <v>2.1191948546571537</v>
      </c>
      <c r="AE180" s="19">
        <v>3.8563109560428286</v>
      </c>
      <c r="AF180" s="19">
        <v>3.7698239441057133</v>
      </c>
      <c r="AG180" s="19">
        <v>12.69724702991893</v>
      </c>
      <c r="AH180" s="19">
        <v>8.4791657816889252</v>
      </c>
      <c r="AI180" s="19">
        <v>11.909586602225049</v>
      </c>
      <c r="AJ180" s="19">
        <v>6.9343773937980497</v>
      </c>
      <c r="AK180" s="19">
        <v>6.3418616392760727</v>
      </c>
      <c r="AL180" s="19">
        <v>3.3359319806835837</v>
      </c>
      <c r="AM180" s="19">
        <v>3.2281774781242611</v>
      </c>
      <c r="AN180" s="19">
        <v>4.0694043250340313</v>
      </c>
      <c r="AO180" s="19">
        <v>3.5042842181154739</v>
      </c>
      <c r="AP180" s="19">
        <v>6.1604085283738943</v>
      </c>
      <c r="AQ180" s="19">
        <v>0.31928999361842952</v>
      </c>
    </row>
    <row r="181" spans="1:43">
      <c r="A181" s="4">
        <v>43</v>
      </c>
      <c r="B181" s="5" t="s">
        <v>401</v>
      </c>
      <c r="C181" s="13" t="s">
        <v>402</v>
      </c>
      <c r="D181" s="22" t="s">
        <v>402</v>
      </c>
      <c r="E181" s="5" t="s">
        <v>44</v>
      </c>
      <c r="F181" s="23">
        <v>1999</v>
      </c>
      <c r="G181" s="24">
        <v>42.334029880000003</v>
      </c>
      <c r="H181" s="24">
        <v>-83.015411159999999</v>
      </c>
      <c r="I181" s="25"/>
      <c r="J181" s="25"/>
      <c r="L181" s="26">
        <v>1.47</v>
      </c>
      <c r="M181" s="17">
        <f t="shared" si="5"/>
        <v>1</v>
      </c>
      <c r="N181" s="1">
        <v>182</v>
      </c>
      <c r="O181" s="18">
        <v>14</v>
      </c>
      <c r="P181" s="19">
        <v>1.3045110418099528</v>
      </c>
      <c r="Q181" s="20">
        <v>1.4699999999999998</v>
      </c>
      <c r="R181" s="19">
        <v>0.28902960196553579</v>
      </c>
      <c r="S181" s="19">
        <v>2.4319679195412891E-2</v>
      </c>
      <c r="T181" s="19">
        <v>0.35179116443268632</v>
      </c>
      <c r="U181" s="19">
        <v>0.7513381330894614</v>
      </c>
      <c r="V181" s="19">
        <v>0.21506127395211588</v>
      </c>
      <c r="W181" s="19">
        <v>1.8161140273571015</v>
      </c>
      <c r="X181" s="19">
        <v>4.5542202503712064</v>
      </c>
      <c r="Y181" s="19">
        <v>12.08680963692257</v>
      </c>
      <c r="Z181" s="19">
        <v>4.4064300474628224</v>
      </c>
      <c r="AA181" s="19">
        <v>5.6196272618415977</v>
      </c>
      <c r="AB181" s="19">
        <v>13.945062946046187</v>
      </c>
      <c r="AC181" s="19">
        <v>1.204962902877335</v>
      </c>
      <c r="AD181" s="19">
        <v>2.3359061288598255</v>
      </c>
      <c r="AE181" s="19">
        <v>4.2589200333051371</v>
      </c>
      <c r="AF181" s="19">
        <v>3.6294453995156335</v>
      </c>
      <c r="AG181" s="19">
        <v>13.299285772989322</v>
      </c>
      <c r="AH181" s="19">
        <v>9.6782609130478132</v>
      </c>
      <c r="AI181" s="19">
        <v>13.149887265245459</v>
      </c>
      <c r="AJ181" s="19">
        <v>7.3763330598633043</v>
      </c>
      <c r="AK181" s="19">
        <v>7.4162258630916638</v>
      </c>
      <c r="AL181" s="19">
        <v>3.5924904014471446</v>
      </c>
      <c r="AM181" s="19">
        <v>4.2924124812099622</v>
      </c>
      <c r="AN181" s="19">
        <v>4.4743048151370415</v>
      </c>
      <c r="AO181" s="19">
        <v>4.5120838019583402</v>
      </c>
      <c r="AP181" s="19">
        <v>5.1194676198673355</v>
      </c>
      <c r="AQ181" s="19">
        <v>0.40926870990992587</v>
      </c>
    </row>
    <row r="182" spans="1:43">
      <c r="A182" s="21">
        <v>44</v>
      </c>
      <c r="B182" s="5" t="s">
        <v>403</v>
      </c>
      <c r="C182" s="13" t="s">
        <v>404</v>
      </c>
      <c r="D182" s="22" t="s">
        <v>404</v>
      </c>
      <c r="E182" s="5" t="s">
        <v>44</v>
      </c>
      <c r="F182" s="23">
        <v>1999</v>
      </c>
      <c r="G182" s="24">
        <v>42.060302299999996</v>
      </c>
      <c r="H182" s="24">
        <v>-83.180370569999994</v>
      </c>
      <c r="I182" s="25"/>
      <c r="J182" s="25"/>
      <c r="L182" s="26">
        <v>2.4500000000000002</v>
      </c>
      <c r="M182" s="17">
        <f t="shared" si="5"/>
        <v>1</v>
      </c>
      <c r="N182" s="1">
        <v>238</v>
      </c>
      <c r="O182" s="18">
        <v>138</v>
      </c>
      <c r="P182" s="19">
        <v>1.7865963618908067</v>
      </c>
      <c r="Q182" s="20">
        <v>2.4500000000000002</v>
      </c>
      <c r="R182" s="19">
        <v>1.6428558402584281</v>
      </c>
      <c r="S182" s="19">
        <v>3.2806145083241478E-2</v>
      </c>
      <c r="T182" s="19">
        <v>1.1580973071380063</v>
      </c>
      <c r="U182" s="19">
        <v>4.3339095457599646</v>
      </c>
      <c r="V182" s="19">
        <v>2.8569152196770919E-2</v>
      </c>
      <c r="W182" s="19">
        <v>2.6874998315759022</v>
      </c>
      <c r="X182" s="19">
        <v>7.3852661048547095</v>
      </c>
      <c r="Y182" s="19">
        <v>12.426457312067416</v>
      </c>
      <c r="Z182" s="19">
        <v>1.5807166771960961</v>
      </c>
      <c r="AA182" s="19">
        <v>6.3464620606251112E-4</v>
      </c>
      <c r="AB182" s="19">
        <v>15.442166981038271</v>
      </c>
      <c r="AC182" s="19">
        <v>2.5421570339968667</v>
      </c>
      <c r="AD182" s="19">
        <v>3.3222495719789058</v>
      </c>
      <c r="AE182" s="19">
        <v>6.3110833450857875</v>
      </c>
      <c r="AF182" s="19">
        <v>6.2097603934959995</v>
      </c>
      <c r="AG182" s="19">
        <v>15.550873833100038</v>
      </c>
      <c r="AH182" s="19">
        <v>9.8481391813336057</v>
      </c>
      <c r="AI182" s="19">
        <v>14.029263682231393</v>
      </c>
      <c r="AJ182" s="19">
        <v>9.2718708874658926</v>
      </c>
      <c r="AK182" s="19">
        <v>7.8531923543522781</v>
      </c>
      <c r="AL182" s="19">
        <v>5.6705459784200452</v>
      </c>
      <c r="AM182" s="19">
        <v>5.7904616437457808</v>
      </c>
      <c r="AN182" s="19">
        <v>2.012837475749492</v>
      </c>
      <c r="AO182" s="19">
        <v>4.465501343908878</v>
      </c>
      <c r="AP182" s="19">
        <v>8.843231758370532</v>
      </c>
      <c r="AQ182" s="19">
        <v>1.3559641057307243</v>
      </c>
    </row>
    <row r="183" spans="1:43">
      <c r="A183" s="4">
        <v>45</v>
      </c>
      <c r="B183" s="5" t="s">
        <v>405</v>
      </c>
      <c r="C183" s="13" t="s">
        <v>406</v>
      </c>
      <c r="D183" s="22" t="s">
        <v>406</v>
      </c>
      <c r="E183" s="5" t="s">
        <v>44</v>
      </c>
      <c r="F183" s="23">
        <v>1999</v>
      </c>
      <c r="G183" s="24">
        <v>42.084146670000003</v>
      </c>
      <c r="H183" s="24">
        <v>-83.172011029999993</v>
      </c>
      <c r="I183" s="25"/>
      <c r="J183" s="25"/>
      <c r="L183" s="26">
        <v>1.82</v>
      </c>
      <c r="M183" s="17">
        <f t="shared" si="5"/>
        <v>1</v>
      </c>
      <c r="N183" s="1">
        <v>218</v>
      </c>
      <c r="O183" s="18">
        <v>139</v>
      </c>
      <c r="P183" s="19">
        <v>1.4956951626240691</v>
      </c>
      <c r="Q183" s="20">
        <v>1.8200000000000003</v>
      </c>
      <c r="R183" s="19">
        <v>0.77654199257408785</v>
      </c>
      <c r="S183" s="19">
        <v>0.68925775653476928</v>
      </c>
      <c r="T183" s="19">
        <v>0.42367424521358543</v>
      </c>
      <c r="U183" s="19">
        <v>1.2734563323083188</v>
      </c>
      <c r="V183" s="19">
        <v>0.53126590166504706</v>
      </c>
      <c r="W183" s="19">
        <v>1.7786312066235073</v>
      </c>
      <c r="X183" s="19">
        <v>6.7137834296769929</v>
      </c>
      <c r="Y183" s="19">
        <v>11.982269342850786</v>
      </c>
      <c r="Z183" s="19">
        <v>0.29437327686311038</v>
      </c>
      <c r="AA183" s="19">
        <v>7.2116724365405146E-4</v>
      </c>
      <c r="AB183" s="19">
        <v>13.595980692861525</v>
      </c>
      <c r="AC183" s="19">
        <v>0.95847746968031344</v>
      </c>
      <c r="AD183" s="19">
        <v>2.7518444855762025</v>
      </c>
      <c r="AE183" s="19">
        <v>4.6417401903269262</v>
      </c>
      <c r="AF183" s="19">
        <v>4.4753926852692922</v>
      </c>
      <c r="AG183" s="19">
        <v>13.981141421691232</v>
      </c>
      <c r="AH183" s="19">
        <v>9.2446641719474183</v>
      </c>
      <c r="AI183" s="19">
        <v>12.623365070584347</v>
      </c>
      <c r="AJ183" s="19">
        <v>7.2511196730977403</v>
      </c>
      <c r="AK183" s="19">
        <v>5.490158070840331</v>
      </c>
      <c r="AL183" s="19">
        <v>4.2839385505786298</v>
      </c>
      <c r="AM183" s="19">
        <v>3.7240790251806577</v>
      </c>
      <c r="AN183" s="19">
        <v>2.3081274201514458E-4</v>
      </c>
      <c r="AO183" s="19">
        <v>4.3184591520088569</v>
      </c>
      <c r="AP183" s="19">
        <v>6.3379317077164092</v>
      </c>
      <c r="AQ183" s="19">
        <v>0.18284895298111362</v>
      </c>
    </row>
    <row r="184" spans="1:43">
      <c r="A184" s="21">
        <v>46</v>
      </c>
      <c r="B184" s="5" t="s">
        <v>407</v>
      </c>
      <c r="C184" s="13" t="s">
        <v>408</v>
      </c>
      <c r="D184" s="22" t="s">
        <v>408</v>
      </c>
      <c r="E184" s="5" t="s">
        <v>44</v>
      </c>
      <c r="F184" s="23">
        <v>1991</v>
      </c>
      <c r="G184" s="24">
        <v>42.32</v>
      </c>
      <c r="H184" s="24">
        <v>-83.065277777777794</v>
      </c>
      <c r="I184" s="25"/>
      <c r="J184" s="25"/>
      <c r="L184" s="37">
        <v>1.9</v>
      </c>
    </row>
    <row r="185" spans="1:43">
      <c r="A185" s="4">
        <v>47</v>
      </c>
      <c r="B185" s="5" t="s">
        <v>409</v>
      </c>
      <c r="C185" s="13" t="s">
        <v>410</v>
      </c>
      <c r="D185" s="22" t="s">
        <v>410</v>
      </c>
      <c r="E185" s="5" t="s">
        <v>44</v>
      </c>
      <c r="F185" s="23">
        <v>1999</v>
      </c>
      <c r="G185" s="24">
        <v>42.060011600000003</v>
      </c>
      <c r="H185" s="24">
        <v>-83.178136940000002</v>
      </c>
      <c r="I185" s="25"/>
      <c r="J185" s="25"/>
      <c r="L185" s="26">
        <v>1.29</v>
      </c>
      <c r="M185" s="17">
        <f t="shared" ref="M185:M195" si="6">(L185=Q185)*1</f>
        <v>1</v>
      </c>
      <c r="N185" s="1">
        <v>236</v>
      </c>
      <c r="O185" s="18">
        <v>140</v>
      </c>
      <c r="P185" s="19">
        <v>1.1953475983222193</v>
      </c>
      <c r="Q185" s="20">
        <v>1.29</v>
      </c>
      <c r="R185" s="19">
        <v>0.85221676204028318</v>
      </c>
      <c r="S185" s="19">
        <v>1.1663329232437163</v>
      </c>
      <c r="T185" s="19">
        <v>0.69414458553814407</v>
      </c>
      <c r="U185" s="19">
        <v>1.8400541882365045</v>
      </c>
      <c r="V185" s="19">
        <v>0.51769383387396006</v>
      </c>
      <c r="W185" s="19">
        <v>1.8392302830574283</v>
      </c>
      <c r="X185" s="19">
        <v>6.3445246676045324</v>
      </c>
      <c r="Y185" s="19">
        <v>12.479847109194221</v>
      </c>
      <c r="Z185" s="19">
        <v>2.2520793663378922</v>
      </c>
      <c r="AA185" s="19">
        <v>0.72785737124567373</v>
      </c>
      <c r="AB185" s="19">
        <v>15.160020464338725</v>
      </c>
      <c r="AC185" s="19">
        <v>2.3895343767284167</v>
      </c>
      <c r="AD185" s="19">
        <v>3.3340003426576135</v>
      </c>
      <c r="AE185" s="19">
        <v>6.2274568353379296</v>
      </c>
      <c r="AF185" s="19">
        <v>6.2086259139391951</v>
      </c>
      <c r="AG185" s="19">
        <v>15.531904800254518</v>
      </c>
      <c r="AH185" s="19">
        <v>9.802169908868624</v>
      </c>
      <c r="AI185" s="19">
        <v>13.900960296118958</v>
      </c>
      <c r="AJ185" s="19">
        <v>9.1360872724455024</v>
      </c>
      <c r="AK185" s="19">
        <v>8.0691315682304587</v>
      </c>
      <c r="AL185" s="19">
        <v>5.5850240078003264</v>
      </c>
      <c r="AM185" s="19">
        <v>5.6107792356462847</v>
      </c>
      <c r="AN185" s="19">
        <v>1.9395585224943934</v>
      </c>
      <c r="AO185" s="19">
        <v>4.8612966119038727</v>
      </c>
      <c r="AP185" s="19">
        <v>8.5763080798788351</v>
      </c>
      <c r="AQ185" s="19">
        <v>1.3413362608053632</v>
      </c>
    </row>
    <row r="186" spans="1:43">
      <c r="A186" s="21">
        <v>48</v>
      </c>
      <c r="B186" s="5" t="s">
        <v>411</v>
      </c>
      <c r="C186" s="13" t="s">
        <v>412</v>
      </c>
      <c r="D186" s="22" t="s">
        <v>412</v>
      </c>
      <c r="E186" s="5" t="s">
        <v>44</v>
      </c>
      <c r="F186" s="23">
        <v>1999</v>
      </c>
      <c r="G186" s="24">
        <v>42.078704809999998</v>
      </c>
      <c r="H186" s="24">
        <v>-83.162142259999996</v>
      </c>
      <c r="I186" s="25"/>
      <c r="J186" s="25"/>
      <c r="L186" s="26">
        <v>4.1399999999999997</v>
      </c>
      <c r="M186" s="17">
        <f t="shared" si="6"/>
        <v>1</v>
      </c>
      <c r="N186" s="1">
        <v>222</v>
      </c>
      <c r="O186" s="18">
        <v>141</v>
      </c>
      <c r="P186" s="19">
        <v>2.3617683594191532</v>
      </c>
      <c r="Q186" s="20">
        <v>4.1399999999999988</v>
      </c>
      <c r="R186" s="19">
        <v>2.1427527010849876</v>
      </c>
      <c r="S186" s="19">
        <v>2.882508533121365E-3</v>
      </c>
      <c r="T186" s="19">
        <v>1.7192073585269971</v>
      </c>
      <c r="U186" s="19">
        <v>3.9470670984289971</v>
      </c>
      <c r="V186" s="19">
        <v>1.4355292977070054E-2</v>
      </c>
      <c r="W186" s="19">
        <v>2.4614157128315477</v>
      </c>
      <c r="X186" s="19">
        <v>7.283654777934502</v>
      </c>
      <c r="Y186" s="19">
        <v>11.773381661677391</v>
      </c>
      <c r="Z186" s="19">
        <v>1.9666359921724861</v>
      </c>
      <c r="AA186" s="19">
        <v>8.0768309273324471E-4</v>
      </c>
      <c r="AB186" s="19">
        <v>14.452621744603226</v>
      </c>
      <c r="AC186" s="19">
        <v>1.210339426020631</v>
      </c>
      <c r="AD186" s="19">
        <v>2.6358283120585964</v>
      </c>
      <c r="AE186" s="19">
        <v>4.7910822730849869</v>
      </c>
      <c r="AF186" s="19">
        <v>5.3071009927925941</v>
      </c>
      <c r="AG186" s="19">
        <v>14.623818813114143</v>
      </c>
      <c r="AH186" s="19">
        <v>9.2404365941679707</v>
      </c>
      <c r="AI186" s="19">
        <v>13.337292775587967</v>
      </c>
      <c r="AJ186" s="19">
        <v>7.9887913444514114</v>
      </c>
      <c r="AK186" s="19">
        <v>6.4540819178445856</v>
      </c>
      <c r="AL186" s="19">
        <v>4.4933451934861699</v>
      </c>
      <c r="AM186" s="19">
        <v>4.5918184698344131</v>
      </c>
      <c r="AN186" s="19">
        <v>1.0264632145473849</v>
      </c>
      <c r="AO186" s="19">
        <v>4.2772119956525234</v>
      </c>
      <c r="AP186" s="19">
        <v>7.1226069976878597</v>
      </c>
      <c r="AQ186" s="19">
        <v>0.64651021629662553</v>
      </c>
    </row>
    <row r="187" spans="1:43">
      <c r="A187" s="4">
        <v>49</v>
      </c>
      <c r="B187" s="5" t="s">
        <v>413</v>
      </c>
      <c r="C187" s="13" t="s">
        <v>414</v>
      </c>
      <c r="D187" s="22" t="s">
        <v>414</v>
      </c>
      <c r="E187" s="5" t="s">
        <v>44</v>
      </c>
      <c r="F187" s="23">
        <v>1999</v>
      </c>
      <c r="G187" s="24">
        <v>42.087554169999997</v>
      </c>
      <c r="H187" s="24">
        <v>-83.167085599999993</v>
      </c>
      <c r="I187" s="25"/>
      <c r="J187" s="25"/>
      <c r="L187" s="26">
        <v>3.14</v>
      </c>
      <c r="M187" s="17">
        <f t="shared" si="6"/>
        <v>1</v>
      </c>
      <c r="N187" s="1">
        <v>204</v>
      </c>
      <c r="O187" s="18">
        <v>142</v>
      </c>
      <c r="P187" s="19">
        <v>2.0496307677246008</v>
      </c>
      <c r="Q187" s="20">
        <v>3.1400000000000015</v>
      </c>
      <c r="R187" s="19">
        <v>0.74926431722600018</v>
      </c>
      <c r="S187" s="19">
        <v>3.4215715337912983E-2</v>
      </c>
      <c r="T187" s="19">
        <v>0.55583585741665031</v>
      </c>
      <c r="U187" s="19">
        <v>1.1141165375897766</v>
      </c>
      <c r="V187" s="19">
        <v>0.56140039316519941</v>
      </c>
      <c r="W187" s="19">
        <v>2.3839194506831705</v>
      </c>
      <c r="X187" s="19">
        <v>6.4327077634259471</v>
      </c>
      <c r="Y187" s="19">
        <v>12.980532141727178</v>
      </c>
      <c r="Z187" s="19">
        <v>2.520575274022105</v>
      </c>
      <c r="AA187" s="19">
        <v>4.0389806835785462E-4</v>
      </c>
      <c r="AB187" s="19">
        <v>14.713310447357893</v>
      </c>
      <c r="AC187" s="19">
        <v>1.172940615043075</v>
      </c>
      <c r="AD187" s="19">
        <v>3.1862645746816027</v>
      </c>
      <c r="AE187" s="19">
        <v>4.7634995262832245</v>
      </c>
      <c r="AF187" s="19">
        <v>5.7465751293215064</v>
      </c>
      <c r="AG187" s="19">
        <v>14.347937922606951</v>
      </c>
      <c r="AH187" s="19">
        <v>10.479893910773258</v>
      </c>
      <c r="AI187" s="19">
        <v>13.806003554729045</v>
      </c>
      <c r="AJ187" s="19">
        <v>7.9486548114233795</v>
      </c>
      <c r="AK187" s="19">
        <v>7.0806919932298324</v>
      </c>
      <c r="AL187" s="19">
        <v>4.6346032925695351</v>
      </c>
      <c r="AM187" s="19">
        <v>4.084969398320931</v>
      </c>
      <c r="AN187" s="19">
        <v>0.92400096507835372</v>
      </c>
      <c r="AO187" s="19">
        <v>4.9065922641857593</v>
      </c>
      <c r="AP187" s="19">
        <v>6.5696658000775674</v>
      </c>
      <c r="AQ187" s="19">
        <v>0.35772010525099229</v>
      </c>
    </row>
    <row r="188" spans="1:43">
      <c r="A188" s="21">
        <v>50</v>
      </c>
      <c r="B188" s="5" t="s">
        <v>415</v>
      </c>
      <c r="C188" s="13" t="s">
        <v>416</v>
      </c>
      <c r="D188" s="22" t="s">
        <v>416</v>
      </c>
      <c r="E188" s="5" t="s">
        <v>44</v>
      </c>
      <c r="F188" s="23">
        <v>1999</v>
      </c>
      <c r="G188" s="24">
        <v>42.073037530000001</v>
      </c>
      <c r="H188" s="24">
        <v>-83.180323090000002</v>
      </c>
      <c r="I188" s="25"/>
      <c r="J188" s="25"/>
      <c r="L188" s="26">
        <v>1.69</v>
      </c>
      <c r="M188" s="17">
        <f t="shared" si="6"/>
        <v>1</v>
      </c>
      <c r="N188" s="1">
        <v>215</v>
      </c>
      <c r="O188" s="18">
        <v>143</v>
      </c>
      <c r="P188" s="19">
        <v>1.4276061727818994</v>
      </c>
      <c r="Q188" s="20">
        <v>1.69</v>
      </c>
      <c r="R188" s="19">
        <v>1.4808071081387983</v>
      </c>
      <c r="S188" s="19">
        <v>1.5782997240927459E-2</v>
      </c>
      <c r="T188" s="19">
        <v>1.0009910937357804</v>
      </c>
      <c r="U188" s="19">
        <v>7.8429494829377013</v>
      </c>
      <c r="V188" s="19">
        <v>1.6667484981695415</v>
      </c>
      <c r="W188" s="19">
        <v>2.1370109935654598</v>
      </c>
      <c r="X188" s="19">
        <v>7.2794675714288237</v>
      </c>
      <c r="Y188" s="19">
        <v>11.650161611476971</v>
      </c>
      <c r="Z188" s="19">
        <v>1.4423321896540586</v>
      </c>
      <c r="AA188" s="19">
        <v>2.8851015812355289E-4</v>
      </c>
      <c r="AB188" s="19">
        <v>14.240327306440658</v>
      </c>
      <c r="AC188" s="19">
        <v>1.0795627928366376</v>
      </c>
      <c r="AD188" s="19">
        <v>2.7292470307777972</v>
      </c>
      <c r="AE188" s="19">
        <v>5.0263796023683609</v>
      </c>
      <c r="AF188" s="19">
        <v>5.245116670732922</v>
      </c>
      <c r="AG188" s="19">
        <v>14.554748244067472</v>
      </c>
      <c r="AH188" s="19">
        <v>8.8456717647715468</v>
      </c>
      <c r="AI188" s="19">
        <v>13.032512374016864</v>
      </c>
      <c r="AJ188" s="19">
        <v>8.0547125104013713</v>
      </c>
      <c r="AK188" s="19">
        <v>6.3001423761356987</v>
      </c>
      <c r="AL188" s="19">
        <v>4.6658938170627291</v>
      </c>
      <c r="AM188" s="19">
        <v>4.9933759341498529</v>
      </c>
      <c r="AN188" s="19">
        <v>0.97780813844696712</v>
      </c>
      <c r="AO188" s="19">
        <v>4.1616730808664792</v>
      </c>
      <c r="AP188" s="19">
        <v>7.2920102759094236</v>
      </c>
      <c r="AQ188" s="19">
        <v>0.43672882432949461</v>
      </c>
    </row>
    <row r="189" spans="1:43">
      <c r="A189" s="4">
        <v>51</v>
      </c>
      <c r="B189" s="5" t="s">
        <v>417</v>
      </c>
      <c r="C189" s="13" t="s">
        <v>418</v>
      </c>
      <c r="D189" s="22" t="s">
        <v>418</v>
      </c>
      <c r="E189" s="5" t="s">
        <v>44</v>
      </c>
      <c r="F189" s="23">
        <v>1999</v>
      </c>
      <c r="G189" s="24">
        <v>42.074209250000003</v>
      </c>
      <c r="H189" s="24">
        <v>-83.178380790000006</v>
      </c>
      <c r="I189" s="25"/>
      <c r="J189" s="25"/>
      <c r="L189" s="26">
        <v>3.61</v>
      </c>
      <c r="M189" s="17">
        <f t="shared" si="6"/>
        <v>1</v>
      </c>
      <c r="N189" s="1">
        <v>235</v>
      </c>
      <c r="O189" s="18">
        <v>144</v>
      </c>
      <c r="P189" s="19">
        <v>2.2047667506546129</v>
      </c>
      <c r="Q189" s="20">
        <v>3.6099999999999985</v>
      </c>
      <c r="R189" s="19">
        <v>2.4119505351962292</v>
      </c>
      <c r="S189" s="19">
        <v>2.1479727410451392E-2</v>
      </c>
      <c r="T189" s="19">
        <v>2.1347365723796345</v>
      </c>
      <c r="U189" s="19">
        <v>5.2212003183285551</v>
      </c>
      <c r="V189" s="19">
        <v>4.2644337408493722E-2</v>
      </c>
      <c r="W189" s="19">
        <v>3.2287594515393812</v>
      </c>
      <c r="X189" s="19">
        <v>8.6546017026363788</v>
      </c>
      <c r="Y189" s="19">
        <v>11.928417164941889</v>
      </c>
      <c r="Z189" s="19">
        <v>2.2748594797208308</v>
      </c>
      <c r="AA189" s="19">
        <v>0.90587223657016369</v>
      </c>
      <c r="AB189" s="19">
        <v>14.292833147101616</v>
      </c>
      <c r="AC189" s="19">
        <v>1.466264336936187</v>
      </c>
      <c r="AD189" s="19">
        <v>2.8264387965759354</v>
      </c>
      <c r="AE189" s="19">
        <v>5.253566997447999</v>
      </c>
      <c r="AF189" s="19">
        <v>5.2735112995189368</v>
      </c>
      <c r="AG189" s="19">
        <v>14.530391267804355</v>
      </c>
      <c r="AH189" s="19">
        <v>9.2691245005444838</v>
      </c>
      <c r="AI189" s="19">
        <v>12.859074112024564</v>
      </c>
      <c r="AJ189" s="19">
        <v>7.9933212029794207</v>
      </c>
      <c r="AK189" s="19">
        <v>6.4249551258133168</v>
      </c>
      <c r="AL189" s="19">
        <v>5.1761811062186887</v>
      </c>
      <c r="AM189" s="19">
        <v>4.9729082317649898</v>
      </c>
      <c r="AN189" s="19">
        <v>1.450997300170574</v>
      </c>
      <c r="AO189" s="19">
        <v>4.1427469993551425</v>
      </c>
      <c r="AP189" s="19">
        <v>7.6869700035632169</v>
      </c>
      <c r="AQ189" s="19">
        <v>0.8607413513023936</v>
      </c>
    </row>
    <row r="190" spans="1:43">
      <c r="A190" s="21">
        <v>52</v>
      </c>
      <c r="B190" s="5" t="s">
        <v>419</v>
      </c>
      <c r="C190" s="13" t="s">
        <v>420</v>
      </c>
      <c r="D190" s="22" t="s">
        <v>420</v>
      </c>
      <c r="E190" s="5" t="s">
        <v>44</v>
      </c>
      <c r="F190" s="23">
        <v>1999</v>
      </c>
      <c r="G190" s="24">
        <v>42.073188780000002</v>
      </c>
      <c r="H190" s="24">
        <v>-83.175686589999998</v>
      </c>
      <c r="I190" s="25"/>
      <c r="J190" s="25"/>
      <c r="L190" s="26">
        <v>2.65</v>
      </c>
      <c r="M190" s="17">
        <f t="shared" si="6"/>
        <v>1</v>
      </c>
      <c r="N190" s="1">
        <v>232</v>
      </c>
      <c r="O190" s="18">
        <v>145</v>
      </c>
      <c r="P190" s="19">
        <v>1.8678964639926547</v>
      </c>
      <c r="Q190" s="20">
        <v>2.65</v>
      </c>
      <c r="R190" s="19">
        <v>1.7318010156893122</v>
      </c>
      <c r="S190" s="19">
        <v>2.7512469368461967</v>
      </c>
      <c r="T190" s="19">
        <v>1.4949126149890914</v>
      </c>
      <c r="U190" s="19">
        <v>3.2226030639004204</v>
      </c>
      <c r="V190" s="19">
        <v>3.8436181656107918E-2</v>
      </c>
      <c r="W190" s="19">
        <v>2.7257459534430164</v>
      </c>
      <c r="X190" s="19">
        <v>7.3404292823929005</v>
      </c>
      <c r="Y190" s="19">
        <v>11.677252179113704</v>
      </c>
      <c r="Z190" s="19">
        <v>4.484065078771085</v>
      </c>
      <c r="AA190" s="19">
        <v>5.7352869271680618</v>
      </c>
      <c r="AB190" s="19">
        <v>13.287522306064895</v>
      </c>
      <c r="AC190" s="19">
        <v>1.3686236086986854</v>
      </c>
      <c r="AD190" s="19">
        <v>2.5930076558114203</v>
      </c>
      <c r="AE190" s="19">
        <v>4.3290218012493531</v>
      </c>
      <c r="AF190" s="19">
        <v>3.7973364148164945</v>
      </c>
      <c r="AG190" s="19">
        <v>13.534702492574178</v>
      </c>
      <c r="AH190" s="19">
        <v>9.0580263534289021</v>
      </c>
      <c r="AI190" s="19">
        <v>12.449301370725543</v>
      </c>
      <c r="AJ190" s="19">
        <v>7.1339434368880505</v>
      </c>
      <c r="AK190" s="19">
        <v>6.7524022554259329</v>
      </c>
      <c r="AL190" s="19">
        <v>4.3707016049951992</v>
      </c>
      <c r="AM190" s="19">
        <v>3.6994143837863009</v>
      </c>
      <c r="AN190" s="19">
        <v>4.5825065048255036</v>
      </c>
      <c r="AO190" s="19">
        <v>3.8596915973427093</v>
      </c>
      <c r="AP190" s="19">
        <v>6.3798833222978297</v>
      </c>
      <c r="AQ190" s="19">
        <v>0.28149475418204434</v>
      </c>
    </row>
    <row r="191" spans="1:43">
      <c r="A191" s="4">
        <v>53</v>
      </c>
      <c r="B191" s="5" t="s">
        <v>421</v>
      </c>
      <c r="C191" s="13" t="s">
        <v>422</v>
      </c>
      <c r="D191" s="22" t="s">
        <v>422</v>
      </c>
      <c r="E191" s="5" t="s">
        <v>44</v>
      </c>
      <c r="F191" s="23">
        <v>1999</v>
      </c>
      <c r="G191" s="24">
        <v>42.069268039999997</v>
      </c>
      <c r="H191" s="24">
        <v>-83.172059500000003</v>
      </c>
      <c r="I191" s="25"/>
      <c r="J191" s="25"/>
      <c r="L191" s="26">
        <v>6.32</v>
      </c>
      <c r="M191" s="17">
        <f t="shared" si="6"/>
        <v>1</v>
      </c>
      <c r="N191" s="1">
        <v>229</v>
      </c>
      <c r="O191" s="18">
        <v>146</v>
      </c>
      <c r="P191" s="19">
        <v>2.8718436485093179</v>
      </c>
      <c r="Q191" s="20">
        <v>6.3200000000000012</v>
      </c>
      <c r="R191" s="19">
        <v>4.3509493628738589</v>
      </c>
      <c r="S191" s="19">
        <v>2.9982866215714315E-2</v>
      </c>
      <c r="T191" s="19">
        <v>3.657826878693621</v>
      </c>
      <c r="U191" s="19">
        <v>8.6782831205473006</v>
      </c>
      <c r="V191" s="19">
        <v>2.4319679195412891E-2</v>
      </c>
      <c r="W191" s="19">
        <v>3.2230790447571351</v>
      </c>
      <c r="X191" s="19">
        <v>8.7079766840427872</v>
      </c>
      <c r="Y191" s="19">
        <v>11.982193281149907</v>
      </c>
      <c r="Z191" s="19">
        <v>1.5541738067547701</v>
      </c>
      <c r="AA191" s="19">
        <v>3.1735800089550048E-4</v>
      </c>
      <c r="AB191" s="19">
        <v>14.431011224263155</v>
      </c>
      <c r="AC191" s="19">
        <v>1.4341266984824319</v>
      </c>
      <c r="AD191" s="19">
        <v>2.8611698926850915</v>
      </c>
      <c r="AE191" s="19">
        <v>5.1030236887659619</v>
      </c>
      <c r="AF191" s="19">
        <v>5.233104741785362</v>
      </c>
      <c r="AG191" s="19">
        <v>14.57248198977604</v>
      </c>
      <c r="AH191" s="19">
        <v>9.4923884097720848</v>
      </c>
      <c r="AI191" s="19">
        <v>13.370000306753511</v>
      </c>
      <c r="AJ191" s="19">
        <v>8.1526492794978065</v>
      </c>
      <c r="AK191" s="19">
        <v>6.8255525160756152</v>
      </c>
      <c r="AL191" s="19">
        <v>4.8497453378143724</v>
      </c>
      <c r="AM191" s="19">
        <v>4.9641852587673805</v>
      </c>
      <c r="AN191" s="19">
        <v>0.70372673010623654</v>
      </c>
      <c r="AO191" s="19">
        <v>4.265990073723918</v>
      </c>
      <c r="AP191" s="19">
        <v>7.5469720925744959</v>
      </c>
      <c r="AQ191" s="19">
        <v>1.5999856430849884</v>
      </c>
    </row>
    <row r="192" spans="1:43">
      <c r="A192" s="21">
        <v>54</v>
      </c>
      <c r="B192" s="5" t="s">
        <v>423</v>
      </c>
      <c r="C192" s="13" t="s">
        <v>424</v>
      </c>
      <c r="D192" s="22" t="s">
        <v>424</v>
      </c>
      <c r="E192" s="5" t="s">
        <v>44</v>
      </c>
      <c r="F192" s="23">
        <v>1999</v>
      </c>
      <c r="G192" s="24">
        <v>42.337440340000001</v>
      </c>
      <c r="H192" s="24">
        <v>-83.01095608</v>
      </c>
      <c r="I192" s="25"/>
      <c r="J192" s="25"/>
      <c r="L192" s="26">
        <v>1.27</v>
      </c>
      <c r="M192" s="17">
        <f t="shared" si="6"/>
        <v>1</v>
      </c>
      <c r="N192" s="1">
        <v>244</v>
      </c>
      <c r="O192" s="18">
        <v>15</v>
      </c>
      <c r="P192" s="19">
        <v>1.1826922975161902</v>
      </c>
      <c r="Q192" s="20">
        <v>1.27</v>
      </c>
      <c r="R192" s="19">
        <v>2.2900402110078828E-2</v>
      </c>
      <c r="S192" s="19">
        <v>3.5623909730721222E-2</v>
      </c>
      <c r="T192" s="19">
        <v>0.77966077838257619</v>
      </c>
      <c r="U192" s="19">
        <v>1.4009744393703665</v>
      </c>
      <c r="V192" s="19">
        <v>3.7030730944967026E-2</v>
      </c>
      <c r="W192" s="19">
        <v>8.6303051434400563E-3</v>
      </c>
      <c r="X192" s="19">
        <v>9.8306919163260673</v>
      </c>
      <c r="Y192" s="19">
        <v>12.180040825218869</v>
      </c>
      <c r="Z192" s="19">
        <v>3.298350267516637</v>
      </c>
      <c r="AA192" s="19">
        <v>0.76420009012638801</v>
      </c>
      <c r="AB192" s="19">
        <v>14.360704059072175</v>
      </c>
      <c r="AC192" s="19">
        <v>1.8250442208010982</v>
      </c>
      <c r="AD192" s="19">
        <v>2.6090791344489848</v>
      </c>
      <c r="AE192" s="19">
        <v>6.0540144279418291</v>
      </c>
      <c r="AF192" s="19">
        <v>6.6842935316833509</v>
      </c>
      <c r="AG192" s="19">
        <v>14.12258462195841</v>
      </c>
      <c r="AH192" s="19">
        <v>9.3522356189098179</v>
      </c>
      <c r="AI192" s="19">
        <v>13.060781763681742</v>
      </c>
      <c r="AJ192" s="19">
        <v>7.7269267875261782</v>
      </c>
      <c r="AK192" s="19">
        <v>6.7228036914578189</v>
      </c>
      <c r="AL192" s="19">
        <v>4.9214948330142239</v>
      </c>
      <c r="AM192" s="19">
        <v>9.4244196786664762</v>
      </c>
      <c r="AN192" s="19">
        <v>2.8317284693492217</v>
      </c>
      <c r="AO192" s="19">
        <v>4.6699109268896386</v>
      </c>
      <c r="AP192" s="19">
        <v>7.7760869578240506</v>
      </c>
      <c r="AQ192" s="19">
        <v>1.5364526952329416</v>
      </c>
    </row>
    <row r="193" spans="1:43">
      <c r="A193" s="4">
        <v>55</v>
      </c>
      <c r="B193" s="5" t="s">
        <v>425</v>
      </c>
      <c r="C193" s="13"/>
      <c r="D193" s="22" t="s">
        <v>426</v>
      </c>
      <c r="E193" s="5" t="s">
        <v>44</v>
      </c>
      <c r="F193" s="23">
        <v>1999</v>
      </c>
      <c r="G193" s="24">
        <v>42.082669369999998</v>
      </c>
      <c r="H193" s="24">
        <v>-83.192815010000004</v>
      </c>
      <c r="I193" s="25"/>
      <c r="J193" s="25"/>
      <c r="L193" s="26">
        <v>12.71</v>
      </c>
      <c r="M193" s="17">
        <f t="shared" si="6"/>
        <v>1</v>
      </c>
      <c r="N193" s="1">
        <v>248</v>
      </c>
      <c r="O193" s="18">
        <v>147</v>
      </c>
      <c r="P193" s="19">
        <v>3.7771566660045011</v>
      </c>
      <c r="Q193" s="20">
        <v>12.709999999999997</v>
      </c>
      <c r="R193" s="19">
        <v>2.2563961195490001</v>
      </c>
      <c r="S193" s="19">
        <v>2.2900402110078828E-2</v>
      </c>
      <c r="T193" s="19">
        <v>1.6650962074250544</v>
      </c>
      <c r="U193" s="19">
        <v>3.3575720096462631</v>
      </c>
      <c r="V193" s="19">
        <v>3.5623909730721222E-2</v>
      </c>
      <c r="W193" s="19">
        <v>4.9250061994368535</v>
      </c>
      <c r="X193" s="19">
        <v>9.3133992496218294</v>
      </c>
      <c r="Y193" s="19">
        <v>14.093997917581399</v>
      </c>
      <c r="Z193" s="19">
        <v>1.3282040873246792</v>
      </c>
      <c r="AA193" s="19">
        <v>1.4426229109453829E-4</v>
      </c>
      <c r="AB193" s="19">
        <v>15.121781380734358</v>
      </c>
      <c r="AC193" s="19">
        <v>3.0717933095553454</v>
      </c>
      <c r="AD193" s="19">
        <v>3.6144248602053146</v>
      </c>
      <c r="AE193" s="19">
        <v>6.9384379352507963</v>
      </c>
      <c r="AF193" s="19">
        <v>7.2993860730394307</v>
      </c>
      <c r="AG193" s="19">
        <v>15.27433776531158</v>
      </c>
      <c r="AH193" s="19">
        <v>11.833717558560435</v>
      </c>
      <c r="AI193" s="19">
        <v>14.210539734906353</v>
      </c>
      <c r="AJ193" s="19">
        <v>9.0883170445346213</v>
      </c>
      <c r="AK193" s="19">
        <v>7.8384395410022449</v>
      </c>
      <c r="AL193" s="19">
        <v>6.075565103366162</v>
      </c>
      <c r="AM193" s="19">
        <v>6.7684526570997878</v>
      </c>
      <c r="AN193" s="19">
        <v>1.8687188903962986</v>
      </c>
      <c r="AO193" s="19">
        <v>5.581865937225305</v>
      </c>
      <c r="AP193" s="19">
        <v>9.5354059155540973</v>
      </c>
      <c r="AQ193" s="19">
        <v>1.2821682425949903</v>
      </c>
    </row>
    <row r="194" spans="1:43">
      <c r="A194" s="21">
        <v>56</v>
      </c>
      <c r="B194" s="5" t="s">
        <v>427</v>
      </c>
      <c r="C194" s="13" t="s">
        <v>428</v>
      </c>
      <c r="D194" s="22" t="s">
        <v>428</v>
      </c>
      <c r="E194" s="5" t="s">
        <v>44</v>
      </c>
      <c r="F194" s="23">
        <v>1999</v>
      </c>
      <c r="G194" s="24">
        <v>42.094999000000001</v>
      </c>
      <c r="H194" s="24">
        <v>-83.18666193</v>
      </c>
      <c r="I194" s="25"/>
      <c r="J194" s="25"/>
      <c r="L194" s="26">
        <v>1.75</v>
      </c>
      <c r="M194" s="17">
        <f t="shared" si="6"/>
        <v>1</v>
      </c>
      <c r="N194" s="1">
        <v>214</v>
      </c>
      <c r="O194" s="18">
        <v>148</v>
      </c>
      <c r="P194" s="19">
        <v>1.4594316186372973</v>
      </c>
      <c r="Q194" s="20">
        <v>1.75</v>
      </c>
      <c r="R194" s="19">
        <v>2.3142900502777137</v>
      </c>
      <c r="S194" s="19">
        <v>3.7030730944967026E-2</v>
      </c>
      <c r="T194" s="19">
        <v>2.2122706580175078</v>
      </c>
      <c r="U194" s="19">
        <v>7.490538564563983</v>
      </c>
      <c r="V194" s="19">
        <v>8.6303051434400563E-3</v>
      </c>
      <c r="W194" s="19">
        <v>2.2417612103790283</v>
      </c>
      <c r="X194" s="19">
        <v>6.6016164035105156</v>
      </c>
      <c r="Y194" s="19">
        <v>12.064300733733896</v>
      </c>
      <c r="Z194" s="19">
        <v>1.9865347856334139</v>
      </c>
      <c r="AA194" s="19">
        <v>0.8190630849889351</v>
      </c>
      <c r="AB194" s="19">
        <v>14.343887826758873</v>
      </c>
      <c r="AC194" s="19">
        <v>1.2977391097580022</v>
      </c>
      <c r="AD194" s="19">
        <v>2.9254222203721909</v>
      </c>
      <c r="AE194" s="19">
        <v>5.0341051222120905</v>
      </c>
      <c r="AF194" s="19">
        <v>4.7381970491495515</v>
      </c>
      <c r="AG194" s="19">
        <v>14.569423695816713</v>
      </c>
      <c r="AH194" s="19">
        <v>9.3030808890583128</v>
      </c>
      <c r="AI194" s="19">
        <v>13.416948821866301</v>
      </c>
      <c r="AJ194" s="19">
        <v>8.2810222541122052</v>
      </c>
      <c r="AK194" s="19">
        <v>7.3345184169384856</v>
      </c>
      <c r="AL194" s="19">
        <v>5.1543503131268738</v>
      </c>
      <c r="AM194" s="19">
        <v>4.8465215931076573</v>
      </c>
      <c r="AN194" s="19">
        <v>1.6328457296810495</v>
      </c>
      <c r="AO194" s="19">
        <v>4.3180527848167776</v>
      </c>
      <c r="AP194" s="19">
        <v>7.8363771450217268</v>
      </c>
      <c r="AQ194" s="19">
        <v>0.70317804920259808</v>
      </c>
    </row>
    <row r="195" spans="1:43">
      <c r="A195" s="4">
        <v>57</v>
      </c>
      <c r="B195" s="5" t="s">
        <v>429</v>
      </c>
      <c r="C195" s="13" t="s">
        <v>430</v>
      </c>
      <c r="D195" s="22" t="s">
        <v>430</v>
      </c>
      <c r="E195" s="5" t="s">
        <v>44</v>
      </c>
      <c r="F195" s="23">
        <v>1999</v>
      </c>
      <c r="G195" s="24">
        <v>42.083821049999997</v>
      </c>
      <c r="H195" s="24">
        <v>-83.184863379999996</v>
      </c>
      <c r="I195" s="25"/>
      <c r="J195" s="25"/>
      <c r="L195" s="26">
        <v>2.585</v>
      </c>
      <c r="M195" s="17">
        <f t="shared" si="6"/>
        <v>1</v>
      </c>
      <c r="N195" s="1">
        <v>189</v>
      </c>
      <c r="O195" s="18">
        <v>149</v>
      </c>
      <c r="P195" s="19">
        <v>1.84197311892718</v>
      </c>
      <c r="Q195" s="20">
        <v>2.5849999999999995</v>
      </c>
      <c r="R195" s="19">
        <v>0.90568613001017095</v>
      </c>
      <c r="S195" s="19">
        <v>1.3488830982215738</v>
      </c>
      <c r="T195" s="19">
        <v>0.57403591004774612</v>
      </c>
      <c r="U195" s="19">
        <v>1.5095156863516728</v>
      </c>
      <c r="V195" s="19">
        <v>0.25353929991154373</v>
      </c>
      <c r="W195" s="19">
        <v>1.2781226471545541</v>
      </c>
      <c r="X195" s="19">
        <v>5.2081859046226198</v>
      </c>
      <c r="Y195" s="19">
        <v>12.904418689696024</v>
      </c>
      <c r="Z195" s="19">
        <v>2.1646682564026403</v>
      </c>
      <c r="AA195" s="19">
        <v>5.9138374138012571E-4</v>
      </c>
      <c r="AB195" s="19">
        <v>15.965999085010388</v>
      </c>
      <c r="AC195" s="19">
        <v>1.0590136731840973</v>
      </c>
      <c r="AD195" s="19">
        <v>2.9482202812520568</v>
      </c>
      <c r="AE195" s="19">
        <v>4.6516091747156452</v>
      </c>
      <c r="AF195" s="19">
        <v>5.2318346369596416</v>
      </c>
      <c r="AG195" s="19">
        <v>14.326056530702793</v>
      </c>
      <c r="AH195" s="19">
        <v>10.945261066351332</v>
      </c>
      <c r="AI195" s="19">
        <v>13.936608573727339</v>
      </c>
      <c r="AJ195" s="19">
        <v>8.4814473065234441</v>
      </c>
      <c r="AK195" s="19">
        <v>7.2985501690126089</v>
      </c>
      <c r="AL195" s="19">
        <v>4.6186959094439333</v>
      </c>
      <c r="AM195" s="19">
        <v>4.1369806758378713</v>
      </c>
      <c r="AN195" s="19">
        <v>0.14962184662783665</v>
      </c>
      <c r="AO195" s="19">
        <v>4.7814468125620957</v>
      </c>
      <c r="AP195" s="19">
        <v>6.8530346303028269</v>
      </c>
      <c r="AQ195" s="19">
        <v>0.39694438501250584</v>
      </c>
    </row>
    <row r="196" spans="1:43">
      <c r="A196" s="21">
        <v>58</v>
      </c>
      <c r="B196" s="5" t="s">
        <v>431</v>
      </c>
      <c r="C196" s="13" t="s">
        <v>432</v>
      </c>
      <c r="D196" s="22" t="s">
        <v>432</v>
      </c>
      <c r="E196" s="5" t="s">
        <v>44</v>
      </c>
      <c r="F196" s="23">
        <v>1991</v>
      </c>
      <c r="G196" s="24">
        <v>42.314444440000003</v>
      </c>
      <c r="H196" s="24">
        <v>-83.062777777777796</v>
      </c>
      <c r="I196" s="25"/>
      <c r="J196" s="25"/>
      <c r="L196" s="37">
        <v>1.3</v>
      </c>
    </row>
    <row r="197" spans="1:43">
      <c r="A197" s="4">
        <v>59</v>
      </c>
      <c r="B197" s="5" t="s">
        <v>433</v>
      </c>
      <c r="C197" s="13" t="s">
        <v>434</v>
      </c>
      <c r="D197" s="22" t="s">
        <v>434</v>
      </c>
      <c r="E197" s="5" t="s">
        <v>44</v>
      </c>
      <c r="F197" s="23">
        <v>1999</v>
      </c>
      <c r="G197" s="24">
        <v>42.093448860000002</v>
      </c>
      <c r="H197" s="24">
        <v>-83.182001779999993</v>
      </c>
      <c r="I197" s="25"/>
      <c r="J197" s="25"/>
      <c r="L197" s="26">
        <v>5.62</v>
      </c>
      <c r="M197" s="17">
        <f>(L197=Q197)*1</f>
        <v>1</v>
      </c>
      <c r="N197" s="1">
        <v>231</v>
      </c>
      <c r="O197" s="18">
        <v>150</v>
      </c>
      <c r="P197" s="19">
        <v>2.7268312170324931</v>
      </c>
      <c r="Q197" s="20">
        <v>5.62</v>
      </c>
      <c r="R197" s="19">
        <v>2.819481918502762</v>
      </c>
      <c r="S197" s="19">
        <v>1.4419741739063218E-3</v>
      </c>
      <c r="T197" s="19">
        <v>2.3811465958973219</v>
      </c>
      <c r="U197" s="19">
        <v>6.8787640542854041</v>
      </c>
      <c r="V197" s="19">
        <v>4.3216059500934675E-3</v>
      </c>
      <c r="W197" s="19">
        <v>2.6924792710463987</v>
      </c>
      <c r="X197" s="19">
        <v>9.2383510989177893</v>
      </c>
      <c r="Y197" s="19">
        <v>11.991163501478312</v>
      </c>
      <c r="Z197" s="19">
        <v>1.6930177274174529</v>
      </c>
      <c r="AA197" s="19">
        <v>4.7601082602606479E-4</v>
      </c>
      <c r="AB197" s="19">
        <v>14.588557609656183</v>
      </c>
      <c r="AC197" s="19">
        <v>1.1658852367348023</v>
      </c>
      <c r="AD197" s="19">
        <v>2.8975364835543753</v>
      </c>
      <c r="AE197" s="19">
        <v>5.0854169583773308</v>
      </c>
      <c r="AF197" s="19">
        <v>5.1908089069919567</v>
      </c>
      <c r="AG197" s="19">
        <v>14.417315585285545</v>
      </c>
      <c r="AH197" s="19">
        <v>9.4684241354586867</v>
      </c>
      <c r="AI197" s="19">
        <v>13.145506624915487</v>
      </c>
      <c r="AJ197" s="19">
        <v>8.1505445139795736</v>
      </c>
      <c r="AK197" s="19">
        <v>6.6850739032878206</v>
      </c>
      <c r="AL197" s="19">
        <v>4.9059118517971791</v>
      </c>
      <c r="AM197" s="19">
        <v>5.2487141052131729</v>
      </c>
      <c r="AN197" s="19">
        <v>6.0580470708846107E-4</v>
      </c>
      <c r="AO197" s="19">
        <v>4.1956559815220684</v>
      </c>
      <c r="AP197" s="19">
        <v>7.5448520305299676</v>
      </c>
      <c r="AQ197" s="19">
        <v>1.4678440084846234</v>
      </c>
    </row>
    <row r="198" spans="1:43">
      <c r="A198" s="21">
        <v>60</v>
      </c>
      <c r="B198" s="5" t="s">
        <v>435</v>
      </c>
      <c r="C198" s="13" t="s">
        <v>436</v>
      </c>
      <c r="D198" s="22" t="s">
        <v>436</v>
      </c>
      <c r="E198" s="5" t="s">
        <v>44</v>
      </c>
      <c r="F198" s="23">
        <v>1991</v>
      </c>
      <c r="G198" s="24">
        <v>42.310555559999997</v>
      </c>
      <c r="H198" s="24">
        <v>-83.081111111111099</v>
      </c>
      <c r="I198" s="25"/>
      <c r="J198" s="25"/>
      <c r="L198" s="37">
        <v>9.6999999999999993</v>
      </c>
    </row>
    <row r="199" spans="1:43">
      <c r="A199" s="4">
        <v>61</v>
      </c>
      <c r="B199" s="5" t="s">
        <v>437</v>
      </c>
      <c r="C199" s="13"/>
      <c r="D199" s="22" t="s">
        <v>438</v>
      </c>
      <c r="E199" s="5" t="s">
        <v>44</v>
      </c>
      <c r="F199" s="23">
        <v>1991</v>
      </c>
      <c r="G199" s="24">
        <v>42.306388890000001</v>
      </c>
      <c r="H199" s="24">
        <v>-83.076666666666696</v>
      </c>
      <c r="I199" s="25"/>
      <c r="J199" s="25"/>
      <c r="L199" s="37">
        <v>4.4000000000000004</v>
      </c>
    </row>
    <row r="200" spans="1:43">
      <c r="A200" s="21">
        <v>62</v>
      </c>
      <c r="B200" s="5" t="s">
        <v>439</v>
      </c>
      <c r="C200" s="13" t="s">
        <v>440</v>
      </c>
      <c r="D200" s="22" t="s">
        <v>440</v>
      </c>
      <c r="E200" s="5" t="s">
        <v>44</v>
      </c>
      <c r="F200" s="23">
        <v>1991</v>
      </c>
      <c r="G200" s="24">
        <v>42.293333330000003</v>
      </c>
      <c r="H200" s="24">
        <v>-83.097777777777793</v>
      </c>
      <c r="I200" s="25"/>
      <c r="J200" s="25"/>
      <c r="L200" s="37">
        <v>4.7</v>
      </c>
    </row>
    <row r="201" spans="1:43">
      <c r="A201" s="4">
        <v>63</v>
      </c>
      <c r="B201" s="5" t="s">
        <v>441</v>
      </c>
      <c r="C201" s="13" t="s">
        <v>442</v>
      </c>
      <c r="D201" s="22" t="s">
        <v>442</v>
      </c>
      <c r="E201" s="5" t="s">
        <v>44</v>
      </c>
      <c r="F201" s="23">
        <v>1991</v>
      </c>
      <c r="G201" s="24">
        <v>42.327777779999998</v>
      </c>
      <c r="H201" s="24">
        <v>-83.000555555555593</v>
      </c>
      <c r="I201" s="25"/>
      <c r="J201" s="25"/>
      <c r="L201" s="37">
        <v>2.2999999999999998</v>
      </c>
    </row>
    <row r="202" spans="1:43">
      <c r="A202" s="21">
        <v>64</v>
      </c>
      <c r="B202" s="5" t="s">
        <v>443</v>
      </c>
      <c r="C202" s="13" t="s">
        <v>444</v>
      </c>
      <c r="D202" s="22" t="s">
        <v>444</v>
      </c>
      <c r="E202" s="5" t="s">
        <v>44</v>
      </c>
      <c r="F202" s="23">
        <v>1991</v>
      </c>
      <c r="G202" s="24">
        <v>42.339444440000001</v>
      </c>
      <c r="H202" s="24">
        <v>-83.008333333333297</v>
      </c>
      <c r="I202" s="25"/>
      <c r="J202" s="25"/>
      <c r="L202" s="37">
        <v>7</v>
      </c>
    </row>
    <row r="203" spans="1:43">
      <c r="A203" s="4">
        <v>65</v>
      </c>
      <c r="B203" s="5" t="s">
        <v>445</v>
      </c>
      <c r="C203" s="13" t="s">
        <v>446</v>
      </c>
      <c r="D203" s="22" t="s">
        <v>446</v>
      </c>
      <c r="E203" s="5" t="s">
        <v>44</v>
      </c>
      <c r="F203" s="23">
        <v>1999</v>
      </c>
      <c r="G203" s="24">
        <v>42.333506810000003</v>
      </c>
      <c r="H203" s="24">
        <v>-82.957874200000006</v>
      </c>
      <c r="I203" s="25"/>
      <c r="J203" s="25"/>
      <c r="L203" s="26">
        <v>0.87</v>
      </c>
      <c r="M203" s="17">
        <f>(L203=Q203)*1</f>
        <v>1</v>
      </c>
      <c r="N203" s="1">
        <v>57</v>
      </c>
      <c r="O203" s="18">
        <v>16</v>
      </c>
      <c r="P203" s="19">
        <v>0.90303827011291204</v>
      </c>
      <c r="Q203" s="20">
        <v>0.87000000000000011</v>
      </c>
      <c r="R203" s="19">
        <v>0.28775990288542219</v>
      </c>
      <c r="S203" s="19">
        <v>1.4419741739063218E-3</v>
      </c>
      <c r="T203" s="19">
        <v>0.30179109730517872</v>
      </c>
      <c r="U203" s="19">
        <v>0.90431098319685466</v>
      </c>
      <c r="V203" s="19">
        <v>0.30806431185740585</v>
      </c>
      <c r="W203" s="19">
        <v>0.59556968898623108</v>
      </c>
      <c r="X203" s="19">
        <v>1.6324630834811491</v>
      </c>
      <c r="Y203" s="19">
        <v>11.366179585751706</v>
      </c>
      <c r="Z203" s="19">
        <v>3.9240820638272709</v>
      </c>
      <c r="AA203" s="19">
        <v>4.8368880805108683</v>
      </c>
      <c r="AB203" s="19">
        <v>14.30956537274019</v>
      </c>
      <c r="AC203" s="19">
        <v>0.81741616936803041</v>
      </c>
      <c r="AD203" s="19">
        <v>2.0086893145241946</v>
      </c>
      <c r="AE203" s="19">
        <v>3.0109311903246727</v>
      </c>
      <c r="AF203" s="19">
        <v>2.9426426478460375</v>
      </c>
      <c r="AG203" s="19">
        <v>12.453655071421881</v>
      </c>
      <c r="AH203" s="19">
        <v>8.7871300290697079</v>
      </c>
      <c r="AI203" s="19">
        <v>13.283169075770276</v>
      </c>
      <c r="AJ203" s="19">
        <v>6.8077491064061917</v>
      </c>
      <c r="AK203" s="19">
        <v>5.1655580751705417</v>
      </c>
      <c r="AL203" s="19">
        <v>3.1891256175197311</v>
      </c>
      <c r="AM203" s="19">
        <v>1.997390274968369</v>
      </c>
      <c r="AN203" s="19">
        <v>3.6337148019267804</v>
      </c>
      <c r="AO203" s="19">
        <v>3.580486253359223</v>
      </c>
      <c r="AP203" s="19">
        <v>4.2383089062042565</v>
      </c>
      <c r="AQ203" s="19">
        <v>9.060959844909193E-2</v>
      </c>
    </row>
    <row r="204" spans="1:43">
      <c r="A204" s="21">
        <v>66</v>
      </c>
      <c r="B204" s="5" t="s">
        <v>447</v>
      </c>
      <c r="C204" s="13" t="s">
        <v>448</v>
      </c>
      <c r="D204" s="22" t="s">
        <v>448</v>
      </c>
      <c r="E204" s="5" t="s">
        <v>44</v>
      </c>
      <c r="F204" s="23">
        <v>1991</v>
      </c>
      <c r="G204" s="24">
        <v>42.291111110000003</v>
      </c>
      <c r="H204" s="24">
        <v>-83.091111111111104</v>
      </c>
      <c r="I204" s="25"/>
      <c r="J204" s="25"/>
      <c r="L204" s="37">
        <v>5.8</v>
      </c>
    </row>
    <row r="205" spans="1:43">
      <c r="A205" s="4">
        <v>67</v>
      </c>
      <c r="B205" s="5" t="s">
        <v>449</v>
      </c>
      <c r="C205" s="13" t="s">
        <v>450</v>
      </c>
      <c r="D205" s="22" t="s">
        <v>450</v>
      </c>
      <c r="E205" s="5" t="s">
        <v>44</v>
      </c>
      <c r="F205" s="23">
        <v>1991</v>
      </c>
      <c r="G205" s="24">
        <v>42.315833329999997</v>
      </c>
      <c r="H205" s="24">
        <v>-83.072777777777802</v>
      </c>
      <c r="I205" s="25"/>
      <c r="J205" s="25"/>
      <c r="L205" s="37">
        <v>4.4000000000000004</v>
      </c>
    </row>
    <row r="206" spans="1:43">
      <c r="A206" s="21">
        <v>68</v>
      </c>
      <c r="B206" s="5" t="s">
        <v>451</v>
      </c>
      <c r="C206" s="13" t="s">
        <v>452</v>
      </c>
      <c r="D206" s="22" t="s">
        <v>452</v>
      </c>
      <c r="E206" s="5" t="s">
        <v>44</v>
      </c>
      <c r="F206" s="23">
        <v>1991</v>
      </c>
      <c r="G206" s="24">
        <v>42.286944439999999</v>
      </c>
      <c r="H206" s="24">
        <v>-83.093611111111102</v>
      </c>
      <c r="I206" s="25"/>
      <c r="J206" s="25"/>
      <c r="L206" s="37">
        <v>6.833333333333333</v>
      </c>
    </row>
    <row r="207" spans="1:43">
      <c r="A207" s="4">
        <v>69</v>
      </c>
      <c r="B207" s="5" t="s">
        <v>453</v>
      </c>
      <c r="C207" s="13" t="s">
        <v>454</v>
      </c>
      <c r="D207" s="22" t="s">
        <v>454</v>
      </c>
      <c r="E207" s="5" t="s">
        <v>44</v>
      </c>
      <c r="F207" s="23">
        <v>1991</v>
      </c>
      <c r="G207" s="24">
        <v>42.286388889999998</v>
      </c>
      <c r="H207" s="24">
        <v>-83.093611111111102</v>
      </c>
      <c r="I207" s="25"/>
      <c r="J207" s="25"/>
      <c r="L207" s="37">
        <v>6.833333333333333</v>
      </c>
    </row>
    <row r="208" spans="1:43">
      <c r="A208" s="21">
        <v>70</v>
      </c>
      <c r="B208" s="5" t="s">
        <v>455</v>
      </c>
      <c r="C208" s="13" t="s">
        <v>456</v>
      </c>
      <c r="D208" s="22" t="s">
        <v>456</v>
      </c>
      <c r="E208" s="5" t="s">
        <v>44</v>
      </c>
      <c r="F208" s="23">
        <v>1991</v>
      </c>
      <c r="G208" s="24">
        <v>42.284444440000001</v>
      </c>
      <c r="H208" s="24">
        <v>-83.104444444444397</v>
      </c>
      <c r="I208" s="25"/>
      <c r="J208" s="25"/>
      <c r="L208" s="37">
        <v>5.7</v>
      </c>
    </row>
    <row r="209" spans="1:43">
      <c r="A209" s="4">
        <v>71</v>
      </c>
      <c r="B209" s="5" t="s">
        <v>457</v>
      </c>
      <c r="C209" s="13" t="s">
        <v>458</v>
      </c>
      <c r="D209" s="22" t="s">
        <v>458</v>
      </c>
      <c r="E209" s="5" t="s">
        <v>44</v>
      </c>
      <c r="F209" s="23">
        <v>1991</v>
      </c>
      <c r="G209" s="24">
        <v>42.356944439999999</v>
      </c>
      <c r="H209" s="24">
        <v>-82.931111111111093</v>
      </c>
      <c r="I209" s="25"/>
      <c r="J209" s="25"/>
      <c r="L209" s="37">
        <v>1.5</v>
      </c>
    </row>
    <row r="210" spans="1:43">
      <c r="A210" s="21">
        <v>72</v>
      </c>
      <c r="B210" s="5" t="s">
        <v>459</v>
      </c>
      <c r="C210" s="13" t="s">
        <v>460</v>
      </c>
      <c r="D210" s="22" t="s">
        <v>460</v>
      </c>
      <c r="E210" s="5" t="s">
        <v>44</v>
      </c>
      <c r="F210" s="23">
        <v>1991</v>
      </c>
      <c r="G210" s="24">
        <v>42.284999999999997</v>
      </c>
      <c r="H210" s="24">
        <v>-83.094722222222202</v>
      </c>
      <c r="I210" s="25"/>
      <c r="J210" s="25"/>
      <c r="L210" s="37">
        <v>6.833333333333333</v>
      </c>
    </row>
    <row r="211" spans="1:43">
      <c r="A211" s="4">
        <v>73</v>
      </c>
      <c r="B211" s="5" t="s">
        <v>461</v>
      </c>
      <c r="C211" s="13" t="s">
        <v>462</v>
      </c>
      <c r="D211" s="22" t="s">
        <v>462</v>
      </c>
      <c r="E211" s="5" t="s">
        <v>44</v>
      </c>
      <c r="F211" s="23">
        <v>1991</v>
      </c>
      <c r="G211" s="24">
        <v>42.277222219999999</v>
      </c>
      <c r="H211" s="24">
        <v>-83.108611111111102</v>
      </c>
      <c r="I211" s="25"/>
      <c r="J211" s="25"/>
      <c r="L211" s="37">
        <v>6.1</v>
      </c>
    </row>
    <row r="212" spans="1:43">
      <c r="A212" s="21">
        <v>74</v>
      </c>
      <c r="B212" s="5" t="s">
        <v>463</v>
      </c>
      <c r="C212" s="13" t="s">
        <v>464</v>
      </c>
      <c r="D212" s="22" t="s">
        <v>464</v>
      </c>
      <c r="E212" s="5" t="s">
        <v>44</v>
      </c>
      <c r="F212" s="23">
        <v>1991</v>
      </c>
      <c r="G212" s="24">
        <v>42.123888890000003</v>
      </c>
      <c r="H212" s="24">
        <v>-83.114444444444402</v>
      </c>
      <c r="I212" s="25"/>
      <c r="J212" s="25"/>
      <c r="L212" s="37">
        <v>6.833333333333333</v>
      </c>
    </row>
    <row r="213" spans="1:43">
      <c r="A213" s="4">
        <v>75</v>
      </c>
      <c r="B213" s="5" t="s">
        <v>465</v>
      </c>
      <c r="C213" s="13" t="s">
        <v>466</v>
      </c>
      <c r="D213" s="22" t="s">
        <v>466</v>
      </c>
      <c r="E213" s="5" t="s">
        <v>44</v>
      </c>
      <c r="F213" s="23">
        <v>1991</v>
      </c>
      <c r="G213" s="24">
        <v>42.12194444</v>
      </c>
      <c r="H213" s="24">
        <v>-83.113888888888894</v>
      </c>
      <c r="I213" s="25"/>
      <c r="J213" s="25"/>
      <c r="L213" s="37">
        <v>6.833333333333333</v>
      </c>
    </row>
    <row r="214" spans="1:43">
      <c r="A214" s="21">
        <v>76</v>
      </c>
      <c r="B214" s="5" t="s">
        <v>467</v>
      </c>
      <c r="C214" s="13" t="s">
        <v>468</v>
      </c>
      <c r="D214" s="22" t="s">
        <v>468</v>
      </c>
      <c r="E214" s="5" t="s">
        <v>44</v>
      </c>
      <c r="F214" s="23">
        <v>1999</v>
      </c>
      <c r="G214" s="24">
        <v>42.341359660000002</v>
      </c>
      <c r="H214" s="24">
        <v>-83.000058679999995</v>
      </c>
      <c r="I214" s="25"/>
      <c r="J214" s="25"/>
      <c r="L214" s="26">
        <v>1.69</v>
      </c>
      <c r="M214" s="17">
        <f>(L214=Q214)*1</f>
        <v>1</v>
      </c>
      <c r="N214" s="1">
        <v>110</v>
      </c>
      <c r="O214" s="18">
        <v>17</v>
      </c>
      <c r="P214" s="19">
        <v>1.4276061727818994</v>
      </c>
      <c r="Q214" s="20">
        <v>1.69</v>
      </c>
      <c r="R214" s="19">
        <v>0.56862764018250256</v>
      </c>
      <c r="S214" s="19">
        <v>0.23503343224256285</v>
      </c>
      <c r="T214" s="19">
        <v>0.6440707695411787</v>
      </c>
      <c r="U214" s="19">
        <v>1.3572350400397599</v>
      </c>
      <c r="V214" s="19">
        <v>0.53901523762879278</v>
      </c>
      <c r="W214" s="19">
        <v>0.91343200936856517</v>
      </c>
      <c r="X214" s="19">
        <v>3.2946678287421007</v>
      </c>
      <c r="Y214" s="19">
        <v>12.804922721879263</v>
      </c>
      <c r="Z214" s="19">
        <v>4.7134492363495948</v>
      </c>
      <c r="AA214" s="19">
        <v>5.7236888551647409</v>
      </c>
      <c r="AB214" s="19">
        <v>14.369131783054296</v>
      </c>
      <c r="AC214" s="19">
        <v>1.2928519210586795</v>
      </c>
      <c r="AD214" s="19">
        <v>2.691740924510162</v>
      </c>
      <c r="AE214" s="19">
        <v>3.8153443846618962</v>
      </c>
      <c r="AF214" s="19">
        <v>4.3032432998453327</v>
      </c>
      <c r="AG214" s="19">
        <v>13.413640018497958</v>
      </c>
      <c r="AH214" s="19">
        <v>10.590369169341361</v>
      </c>
      <c r="AI214" s="19">
        <v>13.697713964420705</v>
      </c>
      <c r="AJ214" s="19">
        <v>7.5767741523855534</v>
      </c>
      <c r="AK214" s="19">
        <v>7.2367645058865291</v>
      </c>
      <c r="AL214" s="19">
        <v>3.8688255619286074</v>
      </c>
      <c r="AM214" s="19">
        <v>3.28622548145011</v>
      </c>
      <c r="AN214" s="19">
        <v>4.6010182800855874</v>
      </c>
      <c r="AO214" s="19">
        <v>4.5300584351433777</v>
      </c>
      <c r="AP214" s="19">
        <v>5.3739884373955098</v>
      </c>
      <c r="AQ214" s="19">
        <v>0.14024529131554717</v>
      </c>
    </row>
    <row r="215" spans="1:43">
      <c r="A215" s="4">
        <v>77</v>
      </c>
      <c r="B215" s="5" t="s">
        <v>469</v>
      </c>
      <c r="C215" s="13" t="s">
        <v>470</v>
      </c>
      <c r="D215" s="22" t="s">
        <v>470</v>
      </c>
      <c r="E215" s="5" t="s">
        <v>44</v>
      </c>
      <c r="F215" s="23">
        <v>1991</v>
      </c>
      <c r="G215" s="24">
        <v>42.12055556</v>
      </c>
      <c r="H215" s="24">
        <v>-83.113333333333301</v>
      </c>
      <c r="I215" s="25"/>
      <c r="J215" s="25"/>
      <c r="L215" s="37">
        <v>6.833333333333333</v>
      </c>
    </row>
    <row r="216" spans="1:43">
      <c r="A216" s="21">
        <v>78</v>
      </c>
      <c r="B216" s="5" t="s">
        <v>471</v>
      </c>
      <c r="C216" s="13" t="s">
        <v>472</v>
      </c>
      <c r="D216" s="22" t="s">
        <v>472</v>
      </c>
      <c r="E216" s="5" t="s">
        <v>44</v>
      </c>
      <c r="F216" s="23">
        <v>1991</v>
      </c>
      <c r="G216" s="24">
        <v>42.116666670000001</v>
      </c>
      <c r="H216" s="24">
        <v>-83.112222222222201</v>
      </c>
      <c r="I216" s="25"/>
      <c r="J216" s="25"/>
      <c r="L216" s="37">
        <v>2.9</v>
      </c>
    </row>
    <row r="217" spans="1:43">
      <c r="A217" s="4">
        <v>79</v>
      </c>
      <c r="B217" s="5" t="s">
        <v>473</v>
      </c>
      <c r="C217" s="13" t="s">
        <v>474</v>
      </c>
      <c r="D217" s="22" t="s">
        <v>474</v>
      </c>
      <c r="E217" s="5" t="s">
        <v>44</v>
      </c>
      <c r="F217" s="23">
        <v>1991</v>
      </c>
      <c r="G217" s="24">
        <v>42.27861111</v>
      </c>
      <c r="H217" s="24">
        <v>-83.0972222222222</v>
      </c>
      <c r="I217" s="25"/>
      <c r="J217" s="25"/>
      <c r="L217" s="37">
        <v>4.9000000000000004</v>
      </c>
    </row>
    <row r="218" spans="1:43">
      <c r="A218" s="21">
        <v>80</v>
      </c>
      <c r="B218" s="5" t="s">
        <v>475</v>
      </c>
      <c r="C218" s="13" t="s">
        <v>476</v>
      </c>
      <c r="D218" s="22" t="s">
        <v>476</v>
      </c>
      <c r="E218" s="5" t="s">
        <v>44</v>
      </c>
      <c r="F218" s="23">
        <v>1991</v>
      </c>
      <c r="G218" s="24">
        <v>42.27333333</v>
      </c>
      <c r="H218" s="24">
        <v>-83.11</v>
      </c>
      <c r="I218" s="25"/>
      <c r="J218" s="25"/>
      <c r="L218" s="37">
        <v>6.5</v>
      </c>
    </row>
    <row r="219" spans="1:43">
      <c r="A219" s="4">
        <v>81</v>
      </c>
      <c r="B219" s="5" t="s">
        <v>477</v>
      </c>
      <c r="C219" s="13" t="s">
        <v>478</v>
      </c>
      <c r="D219" s="22" t="s">
        <v>478</v>
      </c>
      <c r="E219" s="5" t="s">
        <v>44</v>
      </c>
      <c r="F219" s="23">
        <v>1991</v>
      </c>
      <c r="G219" s="24">
        <v>42.115555559999997</v>
      </c>
      <c r="H219" s="24">
        <v>-83.182222222222194</v>
      </c>
      <c r="I219" s="25"/>
      <c r="J219" s="25"/>
      <c r="L219" s="37">
        <v>3</v>
      </c>
    </row>
    <row r="220" spans="1:43">
      <c r="A220" s="21">
        <v>82</v>
      </c>
      <c r="B220" s="5" t="s">
        <v>479</v>
      </c>
      <c r="C220" s="13" t="s">
        <v>480</v>
      </c>
      <c r="D220" s="22" t="s">
        <v>480</v>
      </c>
      <c r="E220" s="5" t="s">
        <v>44</v>
      </c>
      <c r="F220" s="23">
        <v>1991</v>
      </c>
      <c r="G220" s="24">
        <v>42.273055560000003</v>
      </c>
      <c r="H220" s="24">
        <v>-83.1</v>
      </c>
      <c r="I220" s="25"/>
      <c r="J220" s="25"/>
      <c r="L220" s="37">
        <v>2.6</v>
      </c>
    </row>
    <row r="221" spans="1:43">
      <c r="A221" s="4">
        <v>83</v>
      </c>
      <c r="B221" s="5" t="s">
        <v>481</v>
      </c>
      <c r="C221" s="13" t="s">
        <v>482</v>
      </c>
      <c r="D221" s="22" t="s">
        <v>482</v>
      </c>
      <c r="E221" s="5" t="s">
        <v>44</v>
      </c>
      <c r="F221" s="23">
        <v>1991</v>
      </c>
      <c r="G221" s="24">
        <v>42.244999999999997</v>
      </c>
      <c r="H221" s="24">
        <v>-83.117500000000007</v>
      </c>
      <c r="I221" s="25"/>
      <c r="J221" s="25"/>
      <c r="L221" s="37">
        <v>2.2000000000000002</v>
      </c>
    </row>
    <row r="222" spans="1:43">
      <c r="A222" s="21">
        <v>84</v>
      </c>
      <c r="B222" s="5" t="s">
        <v>483</v>
      </c>
      <c r="C222" s="13"/>
      <c r="D222" s="22" t="s">
        <v>484</v>
      </c>
      <c r="E222" s="5" t="s">
        <v>44</v>
      </c>
      <c r="F222" s="23">
        <v>1991</v>
      </c>
      <c r="G222" s="24">
        <v>42.246666670000003</v>
      </c>
      <c r="H222" s="24">
        <v>-83.13</v>
      </c>
      <c r="I222" s="25"/>
      <c r="J222" s="25"/>
      <c r="L222" s="37">
        <v>6.833333333333333</v>
      </c>
    </row>
    <row r="223" spans="1:43">
      <c r="A223" s="4">
        <v>85</v>
      </c>
      <c r="B223" s="5" t="s">
        <v>485</v>
      </c>
      <c r="C223" s="13" t="s">
        <v>486</v>
      </c>
      <c r="D223" s="22" t="s">
        <v>486</v>
      </c>
      <c r="E223" s="5" t="s">
        <v>44</v>
      </c>
      <c r="F223" s="23">
        <v>1991</v>
      </c>
      <c r="G223" s="24">
        <v>42.242777779999997</v>
      </c>
      <c r="H223" s="24">
        <v>-83.123055555555595</v>
      </c>
      <c r="I223" s="25"/>
      <c r="J223" s="25"/>
      <c r="L223" s="37">
        <v>1.8</v>
      </c>
    </row>
    <row r="224" spans="1:43">
      <c r="A224" s="21">
        <v>86</v>
      </c>
      <c r="B224" s="5" t="s">
        <v>487</v>
      </c>
      <c r="C224" s="13" t="s">
        <v>488</v>
      </c>
      <c r="D224" s="22" t="s">
        <v>488</v>
      </c>
      <c r="E224" s="5" t="s">
        <v>44</v>
      </c>
      <c r="F224" s="23">
        <v>1991</v>
      </c>
      <c r="G224" s="24">
        <v>42.237777780000002</v>
      </c>
      <c r="H224" s="24">
        <v>-83.107500000000002</v>
      </c>
      <c r="I224" s="25"/>
      <c r="J224" s="25"/>
      <c r="L224" s="37">
        <v>6.2</v>
      </c>
    </row>
    <row r="225" spans="1:43">
      <c r="A225" s="4">
        <v>87</v>
      </c>
      <c r="B225" s="5" t="s">
        <v>489</v>
      </c>
      <c r="C225" s="13" t="s">
        <v>490</v>
      </c>
      <c r="D225" s="22" t="s">
        <v>490</v>
      </c>
      <c r="E225" s="5" t="s">
        <v>44</v>
      </c>
      <c r="F225" s="23">
        <v>1999</v>
      </c>
      <c r="G225" s="24">
        <v>42.328770830000003</v>
      </c>
      <c r="H225" s="24">
        <v>-83.006686830000007</v>
      </c>
      <c r="I225" s="25"/>
      <c r="J225" s="25"/>
      <c r="L225" s="26">
        <v>2.5449999999999999</v>
      </c>
      <c r="M225" s="17">
        <f>(L225=Q225)*1</f>
        <v>1</v>
      </c>
      <c r="N225" s="1">
        <v>19</v>
      </c>
      <c r="O225" s="18">
        <v>18</v>
      </c>
      <c r="P225" s="19">
        <v>1.8257856274647914</v>
      </c>
      <c r="Q225" s="20">
        <v>2.5449999999999995</v>
      </c>
      <c r="R225" s="19">
        <v>0.3478036237148846</v>
      </c>
      <c r="S225" s="19">
        <v>4.3216059500934675E-3</v>
      </c>
      <c r="T225" s="19">
        <v>0.20627830117721505</v>
      </c>
      <c r="U225" s="19">
        <v>0.23543033105335656</v>
      </c>
      <c r="V225" s="19">
        <v>5.7592692886849527E-3</v>
      </c>
      <c r="W225" s="19">
        <v>0.17599349813524987</v>
      </c>
      <c r="X225" s="19">
        <v>0.18778449113210977</v>
      </c>
      <c r="Y225" s="19">
        <v>14.590602953369986</v>
      </c>
      <c r="Z225" s="19">
        <v>2.1322686940893152</v>
      </c>
      <c r="AA225" s="19">
        <v>7.6442581671879795E-4</v>
      </c>
      <c r="AB225" s="19">
        <v>15.906926714102886</v>
      </c>
      <c r="AC225" s="19">
        <v>0.82336370079044685</v>
      </c>
      <c r="AD225" s="19">
        <v>3.7843077142417036</v>
      </c>
      <c r="AE225" s="19">
        <v>5.1724007922893893</v>
      </c>
      <c r="AF225" s="19">
        <v>5.2409224817027376</v>
      </c>
      <c r="AG225" s="19">
        <v>14.707874216716409</v>
      </c>
      <c r="AH225" s="19">
        <v>12.760823500899678</v>
      </c>
      <c r="AI225" s="19">
        <v>13.847925282557926</v>
      </c>
      <c r="AJ225" s="19">
        <v>8.7864902117412225</v>
      </c>
      <c r="AK225" s="19">
        <v>7.9475474417599568</v>
      </c>
      <c r="AL225" s="19">
        <v>5.219612410135178</v>
      </c>
      <c r="AM225" s="19">
        <v>2.0833492065228643</v>
      </c>
      <c r="AN225" s="19">
        <v>0.92153031610954528</v>
      </c>
      <c r="AO225" s="19">
        <v>5.8544047080805264</v>
      </c>
      <c r="AP225" s="19">
        <v>6.1954961601044047</v>
      </c>
      <c r="AQ225" s="19">
        <v>3.2040846264560441E-2</v>
      </c>
    </row>
    <row r="226" spans="1:43">
      <c r="A226" s="21">
        <v>88</v>
      </c>
      <c r="B226" s="5" t="s">
        <v>491</v>
      </c>
      <c r="C226" s="13" t="s">
        <v>492</v>
      </c>
      <c r="D226" s="22" t="s">
        <v>492</v>
      </c>
      <c r="E226" s="5" t="s">
        <v>44</v>
      </c>
      <c r="F226" s="23">
        <v>1991</v>
      </c>
      <c r="G226" s="24">
        <v>42.351388890000003</v>
      </c>
      <c r="H226" s="24">
        <v>-82.927777777777806</v>
      </c>
      <c r="I226" s="25"/>
      <c r="J226" s="25"/>
      <c r="L226" s="37">
        <v>1.6</v>
      </c>
    </row>
    <row r="227" spans="1:43">
      <c r="A227" s="4">
        <v>89</v>
      </c>
      <c r="B227" s="5" t="s">
        <v>493</v>
      </c>
      <c r="C227" s="13" t="s">
        <v>494</v>
      </c>
      <c r="D227" s="22" t="s">
        <v>494</v>
      </c>
      <c r="E227" s="5" t="s">
        <v>44</v>
      </c>
      <c r="F227" s="23">
        <v>1991</v>
      </c>
      <c r="G227" s="24">
        <v>42.194166670000001</v>
      </c>
      <c r="H227" s="24">
        <v>-83.111944444444404</v>
      </c>
      <c r="I227" s="25"/>
      <c r="J227" s="25"/>
      <c r="L227" s="37">
        <v>2.2999999999999998</v>
      </c>
    </row>
    <row r="228" spans="1:43">
      <c r="A228" s="21">
        <v>90</v>
      </c>
      <c r="B228" s="5" t="s">
        <v>495</v>
      </c>
      <c r="C228" s="13" t="s">
        <v>496</v>
      </c>
      <c r="D228" s="22" t="s">
        <v>496</v>
      </c>
      <c r="E228" s="5" t="s">
        <v>44</v>
      </c>
      <c r="F228" s="23">
        <v>1991</v>
      </c>
      <c r="G228" s="24">
        <v>42.231666670000003</v>
      </c>
      <c r="H228" s="24">
        <v>-83.147499999999994</v>
      </c>
      <c r="I228" s="25"/>
      <c r="J228" s="25"/>
      <c r="L228" s="37">
        <v>1.8</v>
      </c>
    </row>
    <row r="229" spans="1:43">
      <c r="A229" s="4">
        <v>91</v>
      </c>
      <c r="B229" s="5" t="s">
        <v>497</v>
      </c>
      <c r="C229" s="13" t="s">
        <v>498</v>
      </c>
      <c r="D229" s="22" t="s">
        <v>498</v>
      </c>
      <c r="E229" s="5" t="s">
        <v>44</v>
      </c>
      <c r="F229" s="23">
        <v>1991</v>
      </c>
      <c r="G229" s="24">
        <v>42.227222220000002</v>
      </c>
      <c r="H229" s="24">
        <v>-83.126666666666694</v>
      </c>
      <c r="I229" s="25"/>
      <c r="J229" s="25"/>
      <c r="L229" s="37">
        <v>6.833333333333333</v>
      </c>
    </row>
    <row r="230" spans="1:43">
      <c r="A230" s="21">
        <v>92</v>
      </c>
      <c r="B230" s="5" t="s">
        <v>499</v>
      </c>
      <c r="C230" s="13" t="s">
        <v>500</v>
      </c>
      <c r="D230" s="22" t="s">
        <v>500</v>
      </c>
      <c r="E230" s="5" t="s">
        <v>44</v>
      </c>
      <c r="F230" s="23">
        <v>1991</v>
      </c>
      <c r="G230" s="24">
        <v>42.201666670000002</v>
      </c>
      <c r="H230" s="24">
        <v>-83.147499999999994</v>
      </c>
      <c r="I230" s="25"/>
      <c r="J230" s="25"/>
      <c r="L230" s="37">
        <v>2.4</v>
      </c>
    </row>
    <row r="231" spans="1:43">
      <c r="A231" s="4">
        <v>93</v>
      </c>
      <c r="B231" s="5" t="s">
        <v>501</v>
      </c>
      <c r="C231" s="13" t="s">
        <v>502</v>
      </c>
      <c r="D231" s="22" t="s">
        <v>502</v>
      </c>
      <c r="E231" s="5" t="s">
        <v>44</v>
      </c>
      <c r="F231" s="23">
        <v>1991</v>
      </c>
      <c r="G231" s="24">
        <v>42.206111110000002</v>
      </c>
      <c r="H231" s="24">
        <v>-83.136111111111106</v>
      </c>
      <c r="I231" s="25"/>
      <c r="J231" s="25"/>
      <c r="L231" s="37">
        <v>1.5</v>
      </c>
    </row>
    <row r="232" spans="1:43">
      <c r="A232" s="21">
        <v>94</v>
      </c>
      <c r="B232" s="5" t="s">
        <v>503</v>
      </c>
      <c r="C232" s="13" t="s">
        <v>504</v>
      </c>
      <c r="D232" s="22" t="s">
        <v>504</v>
      </c>
      <c r="E232" s="5" t="s">
        <v>44</v>
      </c>
      <c r="F232" s="23">
        <v>1991</v>
      </c>
      <c r="G232" s="24">
        <v>42.167777780000002</v>
      </c>
      <c r="H232" s="24">
        <v>-83.139722222222204</v>
      </c>
      <c r="I232" s="25"/>
      <c r="J232" s="25"/>
      <c r="L232" s="37">
        <v>1.6</v>
      </c>
    </row>
    <row r="233" spans="1:43">
      <c r="A233" s="4">
        <v>95</v>
      </c>
      <c r="B233" s="5" t="s">
        <v>505</v>
      </c>
      <c r="C233" s="13" t="s">
        <v>506</v>
      </c>
      <c r="D233" s="22" t="s">
        <v>506</v>
      </c>
      <c r="E233" s="5" t="s">
        <v>44</v>
      </c>
      <c r="F233" s="23">
        <v>1991</v>
      </c>
      <c r="G233" s="24">
        <v>42.152500000000003</v>
      </c>
      <c r="H233" s="24">
        <v>-83.119444444444397</v>
      </c>
      <c r="I233" s="25"/>
      <c r="J233" s="25"/>
      <c r="L233" s="37">
        <v>2.2000000000000002</v>
      </c>
    </row>
    <row r="234" spans="1:43">
      <c r="A234" s="21">
        <v>96</v>
      </c>
      <c r="B234" s="5" t="s">
        <v>507</v>
      </c>
      <c r="C234" s="13" t="s">
        <v>508</v>
      </c>
      <c r="D234" s="22" t="s">
        <v>508</v>
      </c>
      <c r="E234" s="5" t="s">
        <v>44</v>
      </c>
      <c r="F234" s="23">
        <v>1991</v>
      </c>
      <c r="G234" s="24">
        <v>42.137500000000003</v>
      </c>
      <c r="H234" s="24">
        <v>-83.125</v>
      </c>
      <c r="I234" s="25"/>
      <c r="J234" s="25"/>
      <c r="L234" s="37">
        <v>1.1000000000000001</v>
      </c>
    </row>
    <row r="235" spans="1:43">
      <c r="A235" s="4">
        <v>97</v>
      </c>
      <c r="B235" s="5" t="s">
        <v>509</v>
      </c>
      <c r="C235" s="13" t="s">
        <v>510</v>
      </c>
      <c r="D235" s="22" t="s">
        <v>510</v>
      </c>
      <c r="E235" s="5" t="s">
        <v>44</v>
      </c>
      <c r="F235" s="23">
        <v>1991</v>
      </c>
      <c r="G235" s="24">
        <v>42.054166670000001</v>
      </c>
      <c r="H235" s="24">
        <v>-83.116388888888906</v>
      </c>
      <c r="I235" s="25"/>
      <c r="J235" s="25"/>
      <c r="L235" s="37">
        <v>2.2000000000000002</v>
      </c>
    </row>
    <row r="236" spans="1:43">
      <c r="A236" s="21">
        <v>98</v>
      </c>
      <c r="B236" s="5" t="s">
        <v>511</v>
      </c>
      <c r="C236" s="13" t="s">
        <v>512</v>
      </c>
      <c r="D236" s="22" t="s">
        <v>512</v>
      </c>
      <c r="E236" s="5" t="s">
        <v>44</v>
      </c>
      <c r="F236" s="23">
        <v>1999</v>
      </c>
      <c r="G236" s="24">
        <v>42.332701780000001</v>
      </c>
      <c r="H236" s="24">
        <v>-83.000257599999998</v>
      </c>
      <c r="I236" s="25"/>
      <c r="J236" s="25"/>
      <c r="L236" s="26">
        <v>2.19</v>
      </c>
      <c r="M236" s="17">
        <f>(L236=Q236)*1</f>
        <v>1</v>
      </c>
      <c r="N236" s="1">
        <v>114</v>
      </c>
      <c r="O236" s="18">
        <v>19</v>
      </c>
      <c r="P236" s="19">
        <v>1.6735564239901446</v>
      </c>
      <c r="Q236" s="20">
        <v>2.1899999999999995</v>
      </c>
      <c r="R236" s="19">
        <v>1.3584325180386123</v>
      </c>
      <c r="S236" s="19">
        <v>0.29880330396337579</v>
      </c>
      <c r="T236" s="19">
        <v>1.3197723188238446</v>
      </c>
      <c r="U236" s="19">
        <v>1.8487004064927428</v>
      </c>
      <c r="V236" s="19">
        <v>1.0504179318405402</v>
      </c>
      <c r="W236" s="19">
        <v>1.1897952580040609</v>
      </c>
      <c r="X236" s="19">
        <v>3.3479428534706468</v>
      </c>
      <c r="Y236" s="19">
        <v>13.235601042916207</v>
      </c>
      <c r="Z236" s="19">
        <v>1.4062353381138575</v>
      </c>
      <c r="AA236" s="19">
        <v>3.4620526684294188E-4</v>
      </c>
      <c r="AB236" s="19">
        <v>15.216498224405539</v>
      </c>
      <c r="AC236" s="19">
        <v>0.49641755126281334</v>
      </c>
      <c r="AD236" s="19">
        <v>2.7660155960422412</v>
      </c>
      <c r="AE236" s="19">
        <v>4.3551118038348342</v>
      </c>
      <c r="AF236" s="19">
        <v>4.6517418539642259</v>
      </c>
      <c r="AG236" s="19">
        <v>13.861053754697508</v>
      </c>
      <c r="AH236" s="19">
        <v>11.015379515231512</v>
      </c>
      <c r="AI236" s="19">
        <v>13.860543941807292</v>
      </c>
      <c r="AJ236" s="19">
        <v>7.9829227938281573</v>
      </c>
      <c r="AK236" s="19">
        <v>6.9692449744340452</v>
      </c>
      <c r="AL236" s="19">
        <v>4.2891030913834101</v>
      </c>
      <c r="AM236" s="19">
        <v>4.0789382691402709</v>
      </c>
      <c r="AN236" s="19">
        <v>1.1027603851834837</v>
      </c>
      <c r="AO236" s="19">
        <v>4.9672650128701665</v>
      </c>
      <c r="AP236" s="19">
        <v>5.9935176666770369</v>
      </c>
      <c r="AQ236" s="19">
        <v>0.24164916663648917</v>
      </c>
    </row>
    <row r="237" spans="1:43">
      <c r="A237" s="4">
        <v>99</v>
      </c>
      <c r="B237" s="5" t="s">
        <v>513</v>
      </c>
      <c r="C237" s="13" t="s">
        <v>514</v>
      </c>
      <c r="D237" s="22" t="s">
        <v>514</v>
      </c>
      <c r="E237" s="5" t="s">
        <v>44</v>
      </c>
      <c r="F237" s="23">
        <v>1991</v>
      </c>
      <c r="G237" s="24">
        <v>42.108055559999997</v>
      </c>
      <c r="H237" s="24">
        <v>-83.133888888888904</v>
      </c>
      <c r="I237" s="25"/>
      <c r="J237" s="25"/>
      <c r="L237" s="37">
        <v>3.7</v>
      </c>
    </row>
    <row r="238" spans="1:43">
      <c r="A238" s="54">
        <v>237</v>
      </c>
      <c r="B238" s="55" t="s">
        <v>515</v>
      </c>
      <c r="C238" s="56"/>
      <c r="D238" s="57" t="s">
        <v>516</v>
      </c>
      <c r="E238" s="58" t="s">
        <v>517</v>
      </c>
      <c r="F238" s="59">
        <v>2004</v>
      </c>
      <c r="G238" s="60">
        <v>42.566580000000002</v>
      </c>
      <c r="H238" s="60">
        <v>-82.575950000000006</v>
      </c>
      <c r="I238" s="61"/>
      <c r="J238" s="61"/>
      <c r="L238" s="62">
        <v>3.2266370875094199</v>
      </c>
      <c r="M238" s="17">
        <f t="shared" ref="M238:M301" si="7">(L238=Q238)*1</f>
        <v>1</v>
      </c>
      <c r="N238" s="1">
        <v>144</v>
      </c>
      <c r="O238" s="18" t="s">
        <v>516</v>
      </c>
      <c r="P238" s="19">
        <v>2.0795102433061148</v>
      </c>
      <c r="Q238" s="20">
        <v>3.2266370875094212</v>
      </c>
      <c r="R238" s="19">
        <v>0.76321162281409161</v>
      </c>
      <c r="S238" s="19">
        <v>0.71368085321856445</v>
      </c>
      <c r="T238" s="19">
        <v>0.94669206705576203</v>
      </c>
      <c r="U238" s="19">
        <v>2.841657547177793</v>
      </c>
      <c r="V238" s="19">
        <v>8.6303051434400563E-3</v>
      </c>
      <c r="W238" s="19">
        <v>0.53881015909881302</v>
      </c>
      <c r="X238" s="19">
        <v>2.1717545534478413</v>
      </c>
      <c r="Y238" s="19">
        <v>12.130570562805426</v>
      </c>
      <c r="Z238" s="19">
        <v>1.8122928448732711</v>
      </c>
      <c r="AA238" s="19">
        <v>4.172327491657617</v>
      </c>
      <c r="AB238" s="19">
        <v>15.361909514802623</v>
      </c>
      <c r="AC238" s="19">
        <v>0.48398341030057312</v>
      </c>
      <c r="AD238" s="19">
        <v>2.3245226115958149</v>
      </c>
      <c r="AE238" s="19">
        <v>3.5668151540108965</v>
      </c>
      <c r="AF238" s="19">
        <v>4.192194165283345</v>
      </c>
      <c r="AG238" s="19">
        <v>13.07028868996168</v>
      </c>
      <c r="AH238" s="19">
        <v>0.44816091776604478</v>
      </c>
      <c r="AI238" s="19">
        <v>10.040289721025717</v>
      </c>
      <c r="AJ238" s="19">
        <v>14.366390522052978</v>
      </c>
      <c r="AK238" s="19">
        <v>7.526694845541976</v>
      </c>
      <c r="AL238" s="19">
        <v>7.2201364473960803</v>
      </c>
      <c r="AM238" s="19">
        <v>3.5849625007211561</v>
      </c>
      <c r="AN238" s="19">
        <v>2.5540976378353402</v>
      </c>
      <c r="AO238" s="19">
        <v>3.2592724870375949</v>
      </c>
      <c r="AP238" s="19">
        <v>4.016139702655253</v>
      </c>
      <c r="AQ238" s="81">
        <v>5.4029267805816259</v>
      </c>
    </row>
    <row r="239" spans="1:43">
      <c r="A239" s="63">
        <v>238</v>
      </c>
      <c r="B239" s="55" t="s">
        <v>518</v>
      </c>
      <c r="C239" s="56"/>
      <c r="D239" s="57" t="s">
        <v>519</v>
      </c>
      <c r="E239" s="58" t="s">
        <v>517</v>
      </c>
      <c r="F239" s="59">
        <v>2004</v>
      </c>
      <c r="G239" s="60">
        <v>42.560070000000003</v>
      </c>
      <c r="H239" s="60">
        <v>-82.421319999999994</v>
      </c>
      <c r="I239" s="61"/>
      <c r="J239" s="61"/>
      <c r="L239" s="62">
        <v>2.8026423797052602</v>
      </c>
      <c r="M239" s="17">
        <f t="shared" si="7"/>
        <v>1</v>
      </c>
      <c r="N239" s="1">
        <v>197</v>
      </c>
      <c r="O239" s="18" t="s">
        <v>519</v>
      </c>
      <c r="P239" s="19">
        <v>1.9270022667924105</v>
      </c>
      <c r="Q239" s="20">
        <v>2.8026423797052602</v>
      </c>
      <c r="R239" s="19">
        <v>0.86008808215116395</v>
      </c>
      <c r="S239" s="19">
        <v>0.53788030705861412</v>
      </c>
      <c r="T239" s="19">
        <v>0.1568714258973819</v>
      </c>
      <c r="U239" s="19">
        <v>0.34896575415371206</v>
      </c>
      <c r="V239" s="19">
        <v>0.54018333316632616</v>
      </c>
      <c r="W239" s="19">
        <v>0.54441953611112459</v>
      </c>
      <c r="X239" s="19">
        <v>2.2212848890279067</v>
      </c>
      <c r="Y239" s="19">
        <v>13.733545003757078</v>
      </c>
      <c r="Z239" s="19">
        <v>1.9103489153809297</v>
      </c>
      <c r="AA239" s="19">
        <v>7.5464174262512521E-2</v>
      </c>
      <c r="AB239" s="19">
        <v>15.344677339350175</v>
      </c>
      <c r="AC239" s="19">
        <v>0.28451413324424535</v>
      </c>
      <c r="AD239" s="19">
        <v>2.862550576299729</v>
      </c>
      <c r="AE239" s="19">
        <v>4.4646682670034448</v>
      </c>
      <c r="AF239" s="19">
        <v>4.7004397181410917</v>
      </c>
      <c r="AG239" s="19">
        <v>14.048231416702446</v>
      </c>
      <c r="AH239" s="19">
        <v>0.14221736180382347</v>
      </c>
      <c r="AI239" s="19">
        <v>11.335948565202298</v>
      </c>
      <c r="AJ239" s="19">
        <v>13.886172872019582</v>
      </c>
      <c r="AK239" s="19">
        <v>8.153805336079035</v>
      </c>
      <c r="AL239" s="19">
        <v>7.1395513523987937</v>
      </c>
      <c r="AM239" s="19">
        <v>4.3212065669699031</v>
      </c>
      <c r="AN239" s="19">
        <v>2.5897634869849773</v>
      </c>
      <c r="AO239" s="19">
        <v>7.6442581671879795E-4</v>
      </c>
      <c r="AP239" s="19">
        <v>4.8904466926799062</v>
      </c>
      <c r="AQ239" s="81">
        <v>5.839959587489532</v>
      </c>
    </row>
    <row r="240" spans="1:43">
      <c r="A240" s="54">
        <v>239</v>
      </c>
      <c r="B240" s="55" t="s">
        <v>520</v>
      </c>
      <c r="C240" s="56"/>
      <c r="D240" s="57" t="s">
        <v>521</v>
      </c>
      <c r="E240" s="58" t="s">
        <v>517</v>
      </c>
      <c r="F240" s="59">
        <v>2004</v>
      </c>
      <c r="G240" s="60">
        <v>42.545769999999997</v>
      </c>
      <c r="H240" s="60">
        <v>-82.420730000000006</v>
      </c>
      <c r="I240" s="61"/>
      <c r="J240" s="61"/>
      <c r="L240" s="62">
        <v>3.2013989888496299</v>
      </c>
      <c r="M240" s="17">
        <f t="shared" si="7"/>
        <v>1</v>
      </c>
      <c r="N240" s="1">
        <v>193</v>
      </c>
      <c r="O240" s="18" t="s">
        <v>521</v>
      </c>
      <c r="P240" s="19">
        <v>2.0708697988931806</v>
      </c>
      <c r="Q240" s="20">
        <v>3.201398988849629</v>
      </c>
      <c r="R240" s="19">
        <v>0.56887216429811804</v>
      </c>
      <c r="S240" s="19">
        <v>0.29205037564277153</v>
      </c>
      <c r="T240" s="19">
        <v>0.29250098219518639</v>
      </c>
      <c r="U240" s="19">
        <v>0.95411255311872123</v>
      </c>
      <c r="V240" s="19">
        <v>0.19525580909958973</v>
      </c>
      <c r="W240" s="19">
        <v>0.66611047625515929</v>
      </c>
      <c r="X240" s="19">
        <v>1.1731394352232904</v>
      </c>
      <c r="Y240" s="19">
        <v>13.638322774748687</v>
      </c>
      <c r="Z240" s="19">
        <v>1.8515991432351455</v>
      </c>
      <c r="AA240" s="19">
        <v>9.2437493071571064E-2</v>
      </c>
      <c r="AB240" s="19">
        <v>15.022411162588737</v>
      </c>
      <c r="AC240" s="19">
        <v>0.1631122443471244</v>
      </c>
      <c r="AD240" s="19">
        <v>2.7706176466562029</v>
      </c>
      <c r="AE240" s="19">
        <v>4.3001237245690138</v>
      </c>
      <c r="AF240" s="19">
        <v>4.6478900910592147</v>
      </c>
      <c r="AG240" s="19">
        <v>13.990015299933379</v>
      </c>
      <c r="AH240" s="19">
        <v>0.21013945740166848</v>
      </c>
      <c r="AI240" s="19">
        <v>11.180530807344482</v>
      </c>
      <c r="AJ240" s="19">
        <v>13.777358067589736</v>
      </c>
      <c r="AK240" s="19">
        <v>7.9277779620823425</v>
      </c>
      <c r="AL240" s="19">
        <v>6.9152818658676596</v>
      </c>
      <c r="AM240" s="19">
        <v>4.2600256559614555</v>
      </c>
      <c r="AN240" s="19">
        <v>2.4776773275653072</v>
      </c>
      <c r="AO240" s="19">
        <v>3.4620526684294188E-4</v>
      </c>
      <c r="AP240" s="19">
        <v>4.75595576955096</v>
      </c>
      <c r="AQ240" s="81">
        <v>5.7468501830980507</v>
      </c>
    </row>
    <row r="241" spans="1:43">
      <c r="A241" s="63">
        <v>240</v>
      </c>
      <c r="B241" s="55" t="s">
        <v>522</v>
      </c>
      <c r="C241" s="56"/>
      <c r="D241" s="57" t="s">
        <v>523</v>
      </c>
      <c r="E241" s="58" t="s">
        <v>517</v>
      </c>
      <c r="F241" s="59">
        <v>2004</v>
      </c>
      <c r="G241" s="60">
        <v>42.514400000000002</v>
      </c>
      <c r="H241" s="60">
        <v>-82.434619999999995</v>
      </c>
      <c r="I241" s="61"/>
      <c r="J241" s="61"/>
      <c r="L241" s="62">
        <v>6.1807182862176102</v>
      </c>
      <c r="M241" s="17">
        <f t="shared" si="7"/>
        <v>1</v>
      </c>
      <c r="N241" s="1">
        <v>211</v>
      </c>
      <c r="O241" s="18" t="s">
        <v>523</v>
      </c>
      <c r="P241" s="19">
        <v>2.8441281638440774</v>
      </c>
      <c r="Q241" s="20">
        <v>6.1807182862176102</v>
      </c>
      <c r="R241" s="19">
        <v>0.76158866575079498</v>
      </c>
      <c r="S241" s="19">
        <v>0.3781948252367861</v>
      </c>
      <c r="T241" s="19">
        <v>0.4576932935464042</v>
      </c>
      <c r="U241" s="19">
        <v>1.198031277434914</v>
      </c>
      <c r="V241" s="19">
        <v>0.8733597935001518</v>
      </c>
      <c r="W241" s="19">
        <v>0.58292319258630243</v>
      </c>
      <c r="X241" s="19">
        <v>2.0864043357269564</v>
      </c>
      <c r="Y241" s="19">
        <v>14.535093083891375</v>
      </c>
      <c r="Z241" s="19">
        <v>2.24336442569366</v>
      </c>
      <c r="AA241" s="19">
        <v>0.20526738223450958</v>
      </c>
      <c r="AB241" s="19">
        <v>15.30388774789588</v>
      </c>
      <c r="AC241" s="19">
        <v>0.20614306969137305</v>
      </c>
      <c r="AD241" s="19">
        <v>3.4084401414616443</v>
      </c>
      <c r="AE241" s="19">
        <v>5.5036667545760194</v>
      </c>
      <c r="AF241" s="19">
        <v>5.5147534984397533</v>
      </c>
      <c r="AG241" s="19">
        <v>14.747196458870773</v>
      </c>
      <c r="AH241" s="19">
        <v>0.45869696868971455</v>
      </c>
      <c r="AI241" s="19">
        <v>12.023754353299417</v>
      </c>
      <c r="AJ241" s="19">
        <v>13.917278830920374</v>
      </c>
      <c r="AK241" s="19">
        <v>8.5306014145168341</v>
      </c>
      <c r="AL241" s="19">
        <v>7.3389591754152033</v>
      </c>
      <c r="AM241" s="19">
        <v>5.1850736378767621</v>
      </c>
      <c r="AN241" s="19">
        <v>3.404494445958774</v>
      </c>
      <c r="AO241" s="19">
        <v>0.15639661659766543</v>
      </c>
      <c r="AP241" s="19">
        <v>5.4892860226258762</v>
      </c>
      <c r="AQ241" s="81">
        <v>6.596935142387232</v>
      </c>
    </row>
    <row r="242" spans="1:43">
      <c r="A242" s="54">
        <v>241</v>
      </c>
      <c r="B242" s="55" t="s">
        <v>524</v>
      </c>
      <c r="C242" s="56"/>
      <c r="D242" s="57" t="s">
        <v>525</v>
      </c>
      <c r="E242" s="58" t="s">
        <v>517</v>
      </c>
      <c r="F242" s="59">
        <v>2004</v>
      </c>
      <c r="G242" s="60">
        <v>42.454230000000003</v>
      </c>
      <c r="H242" s="60">
        <v>-82.468519999999998</v>
      </c>
      <c r="I242" s="61"/>
      <c r="J242" s="61"/>
      <c r="L242" s="62">
        <v>2.9383533467844498</v>
      </c>
      <c r="M242" s="17">
        <f t="shared" si="7"/>
        <v>1</v>
      </c>
      <c r="N242" s="1">
        <v>85</v>
      </c>
      <c r="O242" s="18" t="s">
        <v>525</v>
      </c>
      <c r="P242" s="19">
        <v>1.9775925548110123</v>
      </c>
      <c r="Q242" s="20">
        <v>2.9383533467844498</v>
      </c>
      <c r="R242" s="19">
        <v>0.69969256878922215</v>
      </c>
      <c r="S242" s="19">
        <v>0.25312937881150382</v>
      </c>
      <c r="T242" s="19">
        <v>0.48007527503895597</v>
      </c>
      <c r="U242" s="19">
        <v>1.261609834812204</v>
      </c>
      <c r="V242" s="19">
        <v>0.26152988239198999</v>
      </c>
      <c r="W242" s="19">
        <v>3.9840264531791098E-2</v>
      </c>
      <c r="X242" s="19">
        <v>0.68976698348704157</v>
      </c>
      <c r="Y242" s="19">
        <v>12.563196272216738</v>
      </c>
      <c r="Z242" s="19">
        <v>1.3823905828734695</v>
      </c>
      <c r="AA242" s="19">
        <v>4.3881895371560837</v>
      </c>
      <c r="AB242" s="19">
        <v>15.765933529127077</v>
      </c>
      <c r="AC242" s="19">
        <v>0.49988414589190988</v>
      </c>
      <c r="AD242" s="19">
        <v>2.333709954347277</v>
      </c>
      <c r="AE242" s="19">
        <v>3.6971065744769747</v>
      </c>
      <c r="AF242" s="19">
        <v>4.0062980239003689</v>
      </c>
      <c r="AG242" s="19">
        <v>13.245404150930328</v>
      </c>
      <c r="AH242" s="19">
        <v>0.46194758214236031</v>
      </c>
      <c r="AI242" s="19">
        <v>10.189824558880018</v>
      </c>
      <c r="AJ242" s="19">
        <v>14.563375048528854</v>
      </c>
      <c r="AK242" s="19">
        <v>7.5515160176280141</v>
      </c>
      <c r="AL242" s="19">
        <v>7.2695942516833725</v>
      </c>
      <c r="AM242" s="19">
        <v>3.6427015718332325</v>
      </c>
      <c r="AN242" s="19">
        <v>2.3561438102252752</v>
      </c>
      <c r="AO242" s="19">
        <v>3.4482402252160664</v>
      </c>
      <c r="AP242" s="19">
        <v>4.0703893278913981</v>
      </c>
      <c r="AQ242" s="81">
        <v>5.4809113460477485</v>
      </c>
    </row>
    <row r="243" spans="1:43">
      <c r="A243" s="63">
        <v>242</v>
      </c>
      <c r="B243" s="55" t="s">
        <v>526</v>
      </c>
      <c r="C243" s="56"/>
      <c r="D243" s="57" t="s">
        <v>527</v>
      </c>
      <c r="E243" s="58" t="s">
        <v>517</v>
      </c>
      <c r="F243" s="59">
        <v>2004</v>
      </c>
      <c r="G243" s="60">
        <v>42.419370000000001</v>
      </c>
      <c r="H243" s="60">
        <v>-82.738630000000001</v>
      </c>
      <c r="I243" s="61"/>
      <c r="J243" s="61"/>
      <c r="L243" s="62">
        <v>3.66589703082593</v>
      </c>
      <c r="M243" s="17">
        <f t="shared" si="7"/>
        <v>1</v>
      </c>
      <c r="N243" s="1">
        <v>98</v>
      </c>
      <c r="O243" s="18" t="s">
        <v>527</v>
      </c>
      <c r="P243" s="19">
        <v>2.222154469611878</v>
      </c>
      <c r="Q243" s="20">
        <v>3.6658970308259295</v>
      </c>
      <c r="R243" s="19">
        <v>2.2201407460632181</v>
      </c>
      <c r="S243" s="19">
        <v>0.17835307289880301</v>
      </c>
      <c r="T243" s="19">
        <v>2.199611183516172</v>
      </c>
      <c r="U243" s="19">
        <v>1.3516957615002407</v>
      </c>
      <c r="V243" s="19">
        <v>1.2842686780389685</v>
      </c>
      <c r="W243" s="19">
        <v>0.41322421275802745</v>
      </c>
      <c r="X243" s="19">
        <v>2.2265491949481397</v>
      </c>
      <c r="Y243" s="19">
        <v>13.267225605889532</v>
      </c>
      <c r="Z243" s="19">
        <v>1.6318027549241287</v>
      </c>
      <c r="AA243" s="19">
        <v>4.9073714138235633</v>
      </c>
      <c r="AB243" s="19">
        <v>15.5510773651193</v>
      </c>
      <c r="AC243" s="19">
        <v>0.53853816362980433</v>
      </c>
      <c r="AD243" s="19">
        <v>2.8034337114644177</v>
      </c>
      <c r="AE243" s="19">
        <v>4.3045110418099535</v>
      </c>
      <c r="AF243" s="19">
        <v>4.8333961341632277</v>
      </c>
      <c r="AG243" s="19">
        <v>13.92657397963201</v>
      </c>
      <c r="AH243" s="19">
        <v>0.9663566325080073</v>
      </c>
      <c r="AI243" s="19">
        <v>11.074141462752506</v>
      </c>
      <c r="AJ243" s="19">
        <v>14.968981718441215</v>
      </c>
      <c r="AK243" s="19">
        <v>8.2128611165929044</v>
      </c>
      <c r="AL243" s="19">
        <v>7.6653359171851765</v>
      </c>
      <c r="AM243" s="19">
        <v>4.2532329385380319</v>
      </c>
      <c r="AN243" s="19">
        <v>3.9708536543404835</v>
      </c>
      <c r="AO243" s="19">
        <v>4.0356239097307212</v>
      </c>
      <c r="AP243" s="19">
        <v>4.7191834404817898</v>
      </c>
      <c r="AQ243" s="81">
        <v>5.8799507684126029</v>
      </c>
    </row>
    <row r="244" spans="1:43">
      <c r="A244" s="54">
        <v>243</v>
      </c>
      <c r="B244" s="55" t="s">
        <v>528</v>
      </c>
      <c r="C244" s="56"/>
      <c r="D244" s="57" t="s">
        <v>529</v>
      </c>
      <c r="E244" s="58" t="s">
        <v>517</v>
      </c>
      <c r="F244" s="59">
        <v>2004</v>
      </c>
      <c r="G244" s="60">
        <v>42.63353</v>
      </c>
      <c r="H244" s="60">
        <v>-82.779020000000003</v>
      </c>
      <c r="I244" s="61"/>
      <c r="J244" s="61"/>
      <c r="L244" s="62">
        <v>1.8382136334177801</v>
      </c>
      <c r="M244" s="17">
        <f t="shared" si="7"/>
        <v>1</v>
      </c>
      <c r="N244" s="1">
        <v>115</v>
      </c>
      <c r="O244" s="18" t="s">
        <v>529</v>
      </c>
      <c r="P244" s="19">
        <v>1.5049831856890374</v>
      </c>
      <c r="Q244" s="20">
        <v>1.8382136334177797</v>
      </c>
      <c r="R244" s="19">
        <v>2.2900402110078828E-2</v>
      </c>
      <c r="S244" s="19">
        <v>3.5623909730721222E-2</v>
      </c>
      <c r="T244" s="19">
        <v>0.43270593832849613</v>
      </c>
      <c r="U244" s="19">
        <v>0.23050901600454315</v>
      </c>
      <c r="V244" s="19">
        <v>0.41309085691936659</v>
      </c>
      <c r="W244" s="19">
        <v>0.19896841346023425</v>
      </c>
      <c r="X244" s="19">
        <v>0.44547199274446458</v>
      </c>
      <c r="Y244" s="19">
        <v>12.61240779313867</v>
      </c>
      <c r="Z244" s="19">
        <v>1.6341285575250406</v>
      </c>
      <c r="AA244" s="19">
        <v>4.2570106182060243</v>
      </c>
      <c r="AB244" s="19">
        <v>13.933045133174311</v>
      </c>
      <c r="AC244" s="19">
        <v>0.12703891221074909</v>
      </c>
      <c r="AD244" s="19">
        <v>2.6050201530624095</v>
      </c>
      <c r="AE244" s="19">
        <v>3.7333543406138272</v>
      </c>
      <c r="AF244" s="19">
        <v>3.7803100990433753</v>
      </c>
      <c r="AG244" s="19">
        <v>13.263709337165892</v>
      </c>
      <c r="AH244" s="19">
        <v>5.2680201720392825E-2</v>
      </c>
      <c r="AI244" s="19">
        <v>10.330916878114618</v>
      </c>
      <c r="AJ244" s="19">
        <v>13.083977868501655</v>
      </c>
      <c r="AK244" s="19">
        <v>7.3496129718245218</v>
      </c>
      <c r="AL244" s="19">
        <v>6.6990518440168492</v>
      </c>
      <c r="AM244" s="19">
        <v>3.598126959919604</v>
      </c>
      <c r="AN244" s="19">
        <v>2.3490821463910891</v>
      </c>
      <c r="AO244" s="19">
        <v>3.4356285940520905</v>
      </c>
      <c r="AP244" s="19">
        <v>4.3248106034204836</v>
      </c>
      <c r="AQ244" s="81">
        <v>4.8986920725604879</v>
      </c>
    </row>
    <row r="245" spans="1:43">
      <c r="A245" s="63">
        <v>244</v>
      </c>
      <c r="B245" s="55" t="s">
        <v>530</v>
      </c>
      <c r="C245" s="56"/>
      <c r="D245" s="57" t="s">
        <v>531</v>
      </c>
      <c r="E245" s="58" t="s">
        <v>517</v>
      </c>
      <c r="F245" s="59">
        <v>2005</v>
      </c>
      <c r="G245" s="60">
        <v>42.505450000000003</v>
      </c>
      <c r="H245" s="60">
        <v>-82.584100000000007</v>
      </c>
      <c r="I245" s="61"/>
      <c r="J245" s="61"/>
      <c r="L245" s="62">
        <v>2.54</v>
      </c>
      <c r="M245" s="17">
        <f t="shared" si="7"/>
        <v>1</v>
      </c>
      <c r="N245" s="1">
        <v>63</v>
      </c>
      <c r="O245" s="18" t="s">
        <v>531</v>
      </c>
      <c r="P245" s="19">
        <v>1.8237493603082728</v>
      </c>
      <c r="Q245" s="20">
        <v>2.54</v>
      </c>
      <c r="R245" s="19">
        <v>2.4777001063746211</v>
      </c>
      <c r="S245" s="19">
        <v>0.26918209938712112</v>
      </c>
      <c r="T245" s="19">
        <v>1.8724577146311447</v>
      </c>
      <c r="U245" s="19">
        <v>3.7783550307402298</v>
      </c>
      <c r="V245" s="19">
        <v>3.270324449667326</v>
      </c>
      <c r="W245" s="19">
        <v>5.7592692886849527E-3</v>
      </c>
      <c r="X245" s="19">
        <v>3.7189960656633514</v>
      </c>
      <c r="Y245" s="19">
        <v>12.588480412829758</v>
      </c>
      <c r="Z245" s="19">
        <v>1.7136958148433592</v>
      </c>
      <c r="AA245" s="19">
        <v>4.6117625600648715</v>
      </c>
      <c r="AB245" s="19">
        <v>15.477726650234889</v>
      </c>
      <c r="AC245" s="19">
        <v>0.6939440869757858</v>
      </c>
      <c r="AD245" s="19">
        <v>2.6092821799165691</v>
      </c>
      <c r="AE245" s="19">
        <v>3.7246502717329673</v>
      </c>
      <c r="AF245" s="19">
        <v>4.6501901234967749</v>
      </c>
      <c r="AG245" s="19">
        <v>13.430583224646092</v>
      </c>
      <c r="AH245" s="19">
        <v>1.1505596765753812</v>
      </c>
      <c r="AI245" s="19">
        <v>10.360847084179664</v>
      </c>
      <c r="AJ245" s="19">
        <v>14.495667684169771</v>
      </c>
      <c r="AK245" s="19">
        <v>7.7045953476324032</v>
      </c>
      <c r="AL245" s="19">
        <v>7.6496154590634093</v>
      </c>
      <c r="AM245" s="19">
        <v>3.9809392660855125</v>
      </c>
      <c r="AN245" s="19">
        <v>3.2924872916207639</v>
      </c>
      <c r="AO245" s="19">
        <v>3.9569859246125767</v>
      </c>
      <c r="AP245" s="19">
        <v>4.2086733196294714</v>
      </c>
      <c r="AQ245" s="81">
        <v>5.7051485282530185</v>
      </c>
    </row>
    <row r="246" spans="1:43">
      <c r="A246" s="54">
        <v>245</v>
      </c>
      <c r="B246" s="55" t="s">
        <v>532</v>
      </c>
      <c r="C246" s="56"/>
      <c r="D246" s="57" t="s">
        <v>533</v>
      </c>
      <c r="E246" s="58" t="s">
        <v>517</v>
      </c>
      <c r="F246" s="59">
        <v>2005</v>
      </c>
      <c r="G246" s="60">
        <v>42.503329999999998</v>
      </c>
      <c r="H246" s="60">
        <v>-82.534419999999997</v>
      </c>
      <c r="I246" s="61"/>
      <c r="J246" s="61"/>
      <c r="L246" s="62">
        <v>6.9</v>
      </c>
      <c r="M246" s="17">
        <f t="shared" si="7"/>
        <v>1</v>
      </c>
      <c r="N246" s="1">
        <v>181</v>
      </c>
      <c r="O246" s="18" t="s">
        <v>533</v>
      </c>
      <c r="P246" s="19">
        <v>2.9818526532897405</v>
      </c>
      <c r="Q246" s="20">
        <v>6.8999999999999986</v>
      </c>
      <c r="R246" s="19">
        <v>0.49453024164876619</v>
      </c>
      <c r="S246" s="19">
        <v>3.7030730944967026E-2</v>
      </c>
      <c r="T246" s="19">
        <v>8.6303051434400563E-3</v>
      </c>
      <c r="U246" s="19">
        <v>0.56820968211048672</v>
      </c>
      <c r="V246" s="19">
        <v>1.4419741739063218E-3</v>
      </c>
      <c r="W246" s="19">
        <v>4.3216059500934675E-3</v>
      </c>
      <c r="X246" s="19">
        <v>1.9430455555019943</v>
      </c>
      <c r="Y246" s="19">
        <v>13.014194866814499</v>
      </c>
      <c r="Z246" s="19">
        <v>1.4426229109453829E-4</v>
      </c>
      <c r="AA246" s="19">
        <v>4.4924941516794314</v>
      </c>
      <c r="AB246" s="19">
        <v>13.664113906143047</v>
      </c>
      <c r="AC246" s="19">
        <v>0.3558056389440718</v>
      </c>
      <c r="AD246" s="19">
        <v>2.71171514862302</v>
      </c>
      <c r="AE246" s="19">
        <v>4.0652276227756197</v>
      </c>
      <c r="AF246" s="19">
        <v>3.7398481026993275</v>
      </c>
      <c r="AG246" s="19">
        <v>13.374631986286776</v>
      </c>
      <c r="AH246" s="19">
        <v>0.36513259345252996</v>
      </c>
      <c r="AI246" s="19">
        <v>10.585901449690772</v>
      </c>
      <c r="AJ246" s="19">
        <v>13.050188767596435</v>
      </c>
      <c r="AK246" s="19">
        <v>6.6474584264549206</v>
      </c>
      <c r="AL246" s="19">
        <v>7.3871557176629814</v>
      </c>
      <c r="AM246" s="19">
        <v>4.0152477736989374</v>
      </c>
      <c r="AN246" s="19">
        <v>3.1486087702052203</v>
      </c>
      <c r="AO246" s="19">
        <v>3.8933622107638715</v>
      </c>
      <c r="AP246" s="19">
        <v>4.2772408983320682</v>
      </c>
      <c r="AQ246" s="81">
        <v>5.4452632081404433</v>
      </c>
    </row>
    <row r="247" spans="1:43">
      <c r="A247" s="63">
        <v>246</v>
      </c>
      <c r="B247" s="55" t="s">
        <v>534</v>
      </c>
      <c r="C247" s="56"/>
      <c r="D247" s="57" t="s">
        <v>535</v>
      </c>
      <c r="E247" s="58" t="s">
        <v>517</v>
      </c>
      <c r="F247" s="59">
        <v>2005</v>
      </c>
      <c r="G247" s="60">
        <v>42.488750000000003</v>
      </c>
      <c r="H247" s="60">
        <v>-82.43535</v>
      </c>
      <c r="I247" s="61"/>
      <c r="J247" s="61"/>
      <c r="L247" s="62">
        <v>5.31</v>
      </c>
      <c r="M247" s="17">
        <f t="shared" si="7"/>
        <v>1</v>
      </c>
      <c r="N247" s="1">
        <v>130</v>
      </c>
      <c r="O247" s="18" t="s">
        <v>535</v>
      </c>
      <c r="P247" s="19">
        <v>2.6576400052078246</v>
      </c>
      <c r="Q247" s="20">
        <v>5.3100000000000014</v>
      </c>
      <c r="R247" s="19">
        <v>1.0215016572033615</v>
      </c>
      <c r="S247" s="19">
        <v>3.4215715337912983E-2</v>
      </c>
      <c r="T247" s="19">
        <v>0.89323735377897484</v>
      </c>
      <c r="U247" s="19">
        <v>3.3386125357013441</v>
      </c>
      <c r="V247" s="19">
        <v>1.1521126132853328</v>
      </c>
      <c r="W247" s="19">
        <v>0.70301918046747536</v>
      </c>
      <c r="X247" s="19">
        <v>2.9620835922421298</v>
      </c>
      <c r="Y247" s="19">
        <v>14.150143933061901</v>
      </c>
      <c r="Z247" s="19">
        <v>1.6580972053513716</v>
      </c>
      <c r="AA247" s="19">
        <v>5.3059705209843866</v>
      </c>
      <c r="AB247" s="19">
        <v>15.537491428524397</v>
      </c>
      <c r="AC247" s="19">
        <v>0.66202315700412107</v>
      </c>
      <c r="AD247" s="19">
        <v>3.3461059091885277</v>
      </c>
      <c r="AE247" s="19">
        <v>4.7527485914071335</v>
      </c>
      <c r="AF247" s="19">
        <v>4.8986920725604879</v>
      </c>
      <c r="AG247" s="19">
        <v>14.423312914408891</v>
      </c>
      <c r="AH247" s="19">
        <v>0.35693256841934529</v>
      </c>
      <c r="AI247" s="19">
        <v>11.905763049602793</v>
      </c>
      <c r="AJ247" s="19">
        <v>14.247556707406412</v>
      </c>
      <c r="AK247" s="19">
        <v>8.7190465039299436</v>
      </c>
      <c r="AL247" s="19">
        <v>7.9709686605218106</v>
      </c>
      <c r="AM247" s="19">
        <v>4.8529975876133165</v>
      </c>
      <c r="AN247" s="19">
        <v>3.0163180222946728</v>
      </c>
      <c r="AO247" s="19">
        <v>4.7398481026993275</v>
      </c>
      <c r="AP247" s="19">
        <v>5.1743265151739148</v>
      </c>
      <c r="AQ247" s="81">
        <v>6.2592724870375953</v>
      </c>
    </row>
    <row r="248" spans="1:43">
      <c r="A248" s="54">
        <v>247</v>
      </c>
      <c r="B248" s="55" t="s">
        <v>536</v>
      </c>
      <c r="C248" s="56"/>
      <c r="D248" s="57" t="s">
        <v>537</v>
      </c>
      <c r="E248" s="58" t="s">
        <v>517</v>
      </c>
      <c r="F248" s="59">
        <v>2005</v>
      </c>
      <c r="G248" s="60">
        <v>42.49342</v>
      </c>
      <c r="H248" s="60">
        <v>-82.511279999999999</v>
      </c>
      <c r="I248" s="61"/>
      <c r="J248" s="61"/>
      <c r="L248" s="62">
        <v>2.06</v>
      </c>
      <c r="M248" s="17">
        <f t="shared" si="7"/>
        <v>1</v>
      </c>
      <c r="N248" s="1">
        <v>23</v>
      </c>
      <c r="O248" s="18" t="s">
        <v>537</v>
      </c>
      <c r="P248" s="19">
        <v>1.6135316529179271</v>
      </c>
      <c r="Q248" s="20">
        <v>2.0599999999999996</v>
      </c>
      <c r="R248" s="19">
        <v>3.0739653613870965</v>
      </c>
      <c r="S248" s="19">
        <v>4.2644337408493722E-2</v>
      </c>
      <c r="T248" s="19">
        <v>2.6446309027967789</v>
      </c>
      <c r="U248" s="19">
        <v>5.4739754426209686</v>
      </c>
      <c r="V248" s="19">
        <v>4.2354330440858821</v>
      </c>
      <c r="W248" s="19">
        <v>3.8436181656107918E-2</v>
      </c>
      <c r="X248" s="19">
        <v>4.2859673730566943</v>
      </c>
      <c r="Y248" s="19">
        <v>12.401946123976536</v>
      </c>
      <c r="Z248" s="19">
        <v>1.4931349223055048</v>
      </c>
      <c r="AA248" s="19">
        <v>4.3750394313469245</v>
      </c>
      <c r="AB248" s="19">
        <v>15.311358076220049</v>
      </c>
      <c r="AC248" s="19">
        <v>0.62189948625260116</v>
      </c>
      <c r="AD248" s="19">
        <v>2.4885150089578123</v>
      </c>
      <c r="AE248" s="19">
        <v>3.6825732973475782</v>
      </c>
      <c r="AF248" s="19">
        <v>4.0417686499516297</v>
      </c>
      <c r="AG248" s="19">
        <v>13.221738149272364</v>
      </c>
      <c r="AH248" s="19">
        <v>1.1230039540548198</v>
      </c>
      <c r="AI248" s="19">
        <v>10.121533517340032</v>
      </c>
      <c r="AJ248" s="19">
        <v>14.272556890297281</v>
      </c>
      <c r="AK248" s="19">
        <v>7.6051090738329323</v>
      </c>
      <c r="AL248" s="19">
        <v>7.3327079336406049</v>
      </c>
      <c r="AM248" s="19">
        <v>3.8237493603082728</v>
      </c>
      <c r="AN248" s="19">
        <v>2.8949147479499007</v>
      </c>
      <c r="AO248" s="19">
        <v>3.8052924556007119</v>
      </c>
      <c r="AP248" s="19">
        <v>4.0522419811811385</v>
      </c>
      <c r="AQ248" s="81">
        <v>5.5232482926052091</v>
      </c>
    </row>
    <row r="249" spans="1:43">
      <c r="A249" s="63">
        <v>248</v>
      </c>
      <c r="B249" s="55" t="s">
        <v>538</v>
      </c>
      <c r="C249" s="56"/>
      <c r="D249" s="57" t="s">
        <v>539</v>
      </c>
      <c r="E249" s="58" t="s">
        <v>517</v>
      </c>
      <c r="F249" s="59">
        <v>2005</v>
      </c>
      <c r="G249" s="60">
        <v>42.511719999999997</v>
      </c>
      <c r="H249" s="60">
        <v>-82.515950000000004</v>
      </c>
      <c r="I249" s="61"/>
      <c r="J249" s="61"/>
      <c r="L249" s="62">
        <v>1.07</v>
      </c>
      <c r="M249" s="17">
        <f t="shared" si="7"/>
        <v>1</v>
      </c>
      <c r="N249" s="1">
        <v>31</v>
      </c>
      <c r="O249" s="18" t="s">
        <v>539</v>
      </c>
      <c r="P249" s="19">
        <v>1.0496307677246008</v>
      </c>
      <c r="Q249" s="20">
        <v>1.0700000000000003</v>
      </c>
      <c r="R249" s="19">
        <v>2.9982866215714315E-2</v>
      </c>
      <c r="S249" s="19">
        <v>2.4319679195412891E-2</v>
      </c>
      <c r="T249" s="19">
        <v>2.2900402110078828E-2</v>
      </c>
      <c r="U249" s="19">
        <v>0.37006436092175615</v>
      </c>
      <c r="V249" s="19">
        <v>3.5623909730721222E-2</v>
      </c>
      <c r="W249" s="19">
        <v>0.72215181580865662</v>
      </c>
      <c r="X249" s="19">
        <v>0.67786354358266154</v>
      </c>
      <c r="Y249" s="19">
        <v>11.241983149694329</v>
      </c>
      <c r="Z249" s="19">
        <v>1.4426229109453829E-4</v>
      </c>
      <c r="AA249" s="19">
        <v>4.2675357980687352</v>
      </c>
      <c r="AB249" s="19">
        <v>14.940359483663073</v>
      </c>
      <c r="AC249" s="19">
        <v>0.26819482282842533</v>
      </c>
      <c r="AD249" s="19">
        <v>1.7207162425211313</v>
      </c>
      <c r="AE249" s="19">
        <v>2.5626698261027023</v>
      </c>
      <c r="AF249" s="19">
        <v>1.948974554279771</v>
      </c>
      <c r="AG249" s="19">
        <v>12.130248784050689</v>
      </c>
      <c r="AH249" s="19">
        <v>6.8670810665098642E-2</v>
      </c>
      <c r="AI249" s="19">
        <v>8.7754456741028601</v>
      </c>
      <c r="AJ249" s="19">
        <v>13.253108815655365</v>
      </c>
      <c r="AK249" s="19">
        <v>6.8517490414160571</v>
      </c>
      <c r="AL249" s="19">
        <v>7.146695948030656</v>
      </c>
      <c r="AM249" s="19">
        <v>2.5046203924035524</v>
      </c>
      <c r="AN249" s="19">
        <v>1.7714630583656512</v>
      </c>
      <c r="AO249" s="19">
        <v>4.5001646794921673</v>
      </c>
      <c r="AP249" s="19">
        <v>3.1494219684911604</v>
      </c>
      <c r="AQ249" s="81">
        <v>4.0933911532530134</v>
      </c>
    </row>
    <row r="250" spans="1:43">
      <c r="A250" s="54">
        <v>249</v>
      </c>
      <c r="B250" s="55" t="s">
        <v>540</v>
      </c>
      <c r="C250" s="56"/>
      <c r="D250" s="57" t="s">
        <v>541</v>
      </c>
      <c r="E250" s="58" t="s">
        <v>517</v>
      </c>
      <c r="F250" s="59">
        <v>2005</v>
      </c>
      <c r="G250" s="60">
        <v>42.585819999999998</v>
      </c>
      <c r="H250" s="60">
        <v>-82.439149999999998</v>
      </c>
      <c r="I250" s="61"/>
      <c r="J250" s="61"/>
      <c r="L250" s="62">
        <v>4.2300000000000004</v>
      </c>
      <c r="M250" s="17">
        <f t="shared" si="7"/>
        <v>1</v>
      </c>
      <c r="N250" s="1">
        <v>61</v>
      </c>
      <c r="O250" s="18" t="s">
        <v>541</v>
      </c>
      <c r="P250" s="19">
        <v>2.3868109464722167</v>
      </c>
      <c r="Q250" s="20">
        <v>4.2299999999999995</v>
      </c>
      <c r="R250" s="19">
        <v>3.124706180860827</v>
      </c>
      <c r="S250" s="19">
        <v>1.5782997240927459E-2</v>
      </c>
      <c r="T250" s="19">
        <v>2.3057191306094902</v>
      </c>
      <c r="U250" s="19">
        <v>4.7694743066739909</v>
      </c>
      <c r="V250" s="19">
        <v>3.280423580385849</v>
      </c>
      <c r="W250" s="19">
        <v>2.1479727410451392E-2</v>
      </c>
      <c r="X250" s="19">
        <v>4.3240124816778867</v>
      </c>
      <c r="Y250" s="19">
        <v>12.881305185414046</v>
      </c>
      <c r="Z250" s="19">
        <v>2.0359757436651291</v>
      </c>
      <c r="AA250" s="19">
        <v>4.6926503700355298</v>
      </c>
      <c r="AB250" s="19">
        <v>15.586106763343697</v>
      </c>
      <c r="AC250" s="19">
        <v>0.76349656136531541</v>
      </c>
      <c r="AD250" s="19">
        <v>2.804053558967353</v>
      </c>
      <c r="AE250" s="19">
        <v>3.925999418556223</v>
      </c>
      <c r="AF250" s="19">
        <v>4.4175150028850867</v>
      </c>
      <c r="AG250" s="19">
        <v>13.581789028741815</v>
      </c>
      <c r="AH250" s="19">
        <v>0.71677145641822304</v>
      </c>
      <c r="AI250" s="19">
        <v>10.740624044489413</v>
      </c>
      <c r="AJ250" s="19">
        <v>14.40613855699101</v>
      </c>
      <c r="AK250" s="19">
        <v>7.9086928382425041</v>
      </c>
      <c r="AL250" s="19">
        <v>7.7865963618908065</v>
      </c>
      <c r="AM250" s="19">
        <v>4.1415962783838181</v>
      </c>
      <c r="AN250" s="19">
        <v>3.3201958212661253</v>
      </c>
      <c r="AO250" s="19">
        <v>4.0729632715552242</v>
      </c>
      <c r="AP250" s="19">
        <v>4.4744360432522656</v>
      </c>
      <c r="AQ250" s="81">
        <v>5.8469946869655729</v>
      </c>
    </row>
    <row r="251" spans="1:43">
      <c r="A251" s="63">
        <v>250</v>
      </c>
      <c r="B251" s="55" t="s">
        <v>542</v>
      </c>
      <c r="C251" s="56"/>
      <c r="D251" s="64" t="s">
        <v>543</v>
      </c>
      <c r="E251" s="58" t="s">
        <v>517</v>
      </c>
      <c r="F251" s="65">
        <v>2004</v>
      </c>
      <c r="G251" s="66">
        <v>42.63682</v>
      </c>
      <c r="H251" s="66">
        <v>-82.507019999999997</v>
      </c>
      <c r="I251" s="67"/>
      <c r="J251" s="67"/>
      <c r="L251" s="68">
        <v>1.71138107667851</v>
      </c>
      <c r="M251" s="17">
        <f t="shared" si="7"/>
        <v>1</v>
      </c>
      <c r="N251" s="1">
        <v>68</v>
      </c>
      <c r="O251" s="18" t="s">
        <v>543</v>
      </c>
      <c r="P251" s="19">
        <v>1.4390278939936512</v>
      </c>
      <c r="Q251" s="20">
        <v>1.71138107667851</v>
      </c>
      <c r="R251" s="19">
        <v>0.63225611402223236</v>
      </c>
      <c r="S251" s="19">
        <v>0.82908913153821107</v>
      </c>
      <c r="T251" s="19">
        <v>0.88067411526609607</v>
      </c>
      <c r="U251" s="19">
        <v>2.5834410866552719</v>
      </c>
      <c r="V251" s="19">
        <v>0.22887259388865611</v>
      </c>
      <c r="W251" s="19">
        <v>0.18602788830785177</v>
      </c>
      <c r="X251" s="19">
        <v>1.9076066235558702</v>
      </c>
      <c r="Y251" s="19">
        <v>11.214319120800766</v>
      </c>
      <c r="Z251" s="19">
        <v>5.192767505119931E-4</v>
      </c>
      <c r="AA251" s="19">
        <v>4.2839217723076173</v>
      </c>
      <c r="AB251" s="19">
        <v>14.867423542571078</v>
      </c>
      <c r="AC251" s="19">
        <v>0.43744082436354292</v>
      </c>
      <c r="AD251" s="19">
        <v>2.0032424174886838</v>
      </c>
      <c r="AE251" s="19">
        <v>2.891613607039202</v>
      </c>
      <c r="AF251" s="19">
        <v>1.2172307162206693</v>
      </c>
      <c r="AG251" s="19">
        <v>12.961992230928898</v>
      </c>
      <c r="AH251" s="19">
        <v>0.38338634619901596</v>
      </c>
      <c r="AI251" s="19">
        <v>9.0391932398474264</v>
      </c>
      <c r="AJ251" s="19">
        <v>13.366458826626097</v>
      </c>
      <c r="AK251" s="19">
        <v>6.9530323772532396</v>
      </c>
      <c r="AL251" s="19">
        <v>6.5313814605163119</v>
      </c>
      <c r="AM251" s="19">
        <v>2.71171514862302</v>
      </c>
      <c r="AN251" s="19">
        <v>1.8812730614292485</v>
      </c>
      <c r="AO251" s="19">
        <v>3.7980505147675143</v>
      </c>
      <c r="AP251" s="19">
        <v>4.1969217338203295</v>
      </c>
      <c r="AQ251" s="81">
        <v>4.597531174224212</v>
      </c>
    </row>
    <row r="252" spans="1:43">
      <c r="A252" s="54">
        <v>251</v>
      </c>
      <c r="B252" s="55" t="s">
        <v>544</v>
      </c>
      <c r="C252" s="56"/>
      <c r="D252" s="57" t="s">
        <v>545</v>
      </c>
      <c r="E252" s="58" t="s">
        <v>517</v>
      </c>
      <c r="F252" s="59">
        <v>2005</v>
      </c>
      <c r="G252" s="60">
        <v>42.63682</v>
      </c>
      <c r="H252" s="60">
        <v>-82.507019999999997</v>
      </c>
      <c r="I252" s="61"/>
      <c r="J252" s="61"/>
      <c r="L252" s="62">
        <v>1.59</v>
      </c>
      <c r="M252" s="17">
        <f t="shared" si="7"/>
        <v>1</v>
      </c>
      <c r="N252" s="1">
        <v>35</v>
      </c>
      <c r="O252" s="18" t="s">
        <v>545</v>
      </c>
      <c r="P252" s="19">
        <v>1.372952097911829</v>
      </c>
      <c r="Q252" s="20">
        <v>1.5899999999999994</v>
      </c>
      <c r="R252" s="19">
        <v>0.51682404126129389</v>
      </c>
      <c r="S252" s="19">
        <v>2.7154051503726649E-2</v>
      </c>
      <c r="T252" s="19">
        <v>0.85163953887427735</v>
      </c>
      <c r="U252" s="19">
        <v>2.6396749169234903</v>
      </c>
      <c r="V252" s="19">
        <v>1.4974563167651953</v>
      </c>
      <c r="W252" s="19">
        <v>3.9840264531791098E-2</v>
      </c>
      <c r="X252" s="19">
        <v>2.2621479330036602</v>
      </c>
      <c r="Y252" s="19">
        <v>11.454813348512525</v>
      </c>
      <c r="Z252" s="19">
        <v>1.4426229109453829E-4</v>
      </c>
      <c r="AA252" s="19">
        <v>4.2727697324365108</v>
      </c>
      <c r="AB252" s="19">
        <v>15.017634884991464</v>
      </c>
      <c r="AC252" s="19">
        <v>0.4567010310082053</v>
      </c>
      <c r="AD252" s="19">
        <v>1.9851360673680096</v>
      </c>
      <c r="AE252" s="19">
        <v>2.9636590730221091</v>
      </c>
      <c r="AF252" s="19">
        <v>2.9662458732249397</v>
      </c>
      <c r="AG252" s="19">
        <v>12.584022940257542</v>
      </c>
      <c r="AH252" s="19">
        <v>0.28747229511906675</v>
      </c>
      <c r="AI252" s="19">
        <v>9.3194463294071497</v>
      </c>
      <c r="AJ252" s="19">
        <v>13.66300208808487</v>
      </c>
      <c r="AK252" s="19">
        <v>7.0433007543641821</v>
      </c>
      <c r="AL252" s="19">
        <v>6.9588426752432406</v>
      </c>
      <c r="AM252" s="19">
        <v>3.101986172785737</v>
      </c>
      <c r="AN252" s="19">
        <v>1.968275110238707</v>
      </c>
      <c r="AO252" s="19">
        <v>4.7197310567498523</v>
      </c>
      <c r="AP252" s="19">
        <v>3.7202784652333269</v>
      </c>
      <c r="AQ252" s="81">
        <v>4.7639426604472499</v>
      </c>
    </row>
    <row r="253" spans="1:43">
      <c r="A253" s="63">
        <v>252</v>
      </c>
      <c r="B253" s="55" t="s">
        <v>546</v>
      </c>
      <c r="C253" s="56"/>
      <c r="D253" s="57" t="s">
        <v>547</v>
      </c>
      <c r="E253" s="58" t="s">
        <v>517</v>
      </c>
      <c r="F253" s="59">
        <v>2004</v>
      </c>
      <c r="G253" s="60">
        <v>42.622329999999998</v>
      </c>
      <c r="H253" s="60">
        <v>-82.511300000000006</v>
      </c>
      <c r="I253" s="61"/>
      <c r="J253" s="61"/>
      <c r="L253" s="62">
        <v>0.80696172202948402</v>
      </c>
      <c r="M253" s="17">
        <f t="shared" si="7"/>
        <v>1</v>
      </c>
      <c r="N253" s="1">
        <v>6</v>
      </c>
      <c r="O253" s="18" t="s">
        <v>547</v>
      </c>
      <c r="P253" s="19">
        <v>0.85356594503862193</v>
      </c>
      <c r="Q253" s="20">
        <v>0.80696172202948402</v>
      </c>
      <c r="R253" s="19">
        <v>0.22582678396291969</v>
      </c>
      <c r="S253" s="19">
        <v>0.17885965769147327</v>
      </c>
      <c r="T253" s="19">
        <v>0.51453112791933842</v>
      </c>
      <c r="U253" s="19">
        <v>2.1498761800540325</v>
      </c>
      <c r="V253" s="19">
        <v>1.9120578876467107</v>
      </c>
      <c r="W253" s="19">
        <v>0.1826001971573368</v>
      </c>
      <c r="X253" s="19">
        <v>1.7844327399511075</v>
      </c>
      <c r="Y253" s="19">
        <v>10.791976820898689</v>
      </c>
      <c r="Z253" s="19">
        <v>8.3652055619799878E-4</v>
      </c>
      <c r="AA253" s="19">
        <v>4.7382274003672418</v>
      </c>
      <c r="AB253" s="19">
        <v>14.029373509976606</v>
      </c>
      <c r="AC253" s="19">
        <v>0.37606807113368551</v>
      </c>
      <c r="AD253" s="19">
        <v>1.6968840908554546</v>
      </c>
      <c r="AE253" s="19">
        <v>2.3442603949854188</v>
      </c>
      <c r="AF253" s="19">
        <v>1.1871342914745355</v>
      </c>
      <c r="AG253" s="19">
        <v>12.238106137432077</v>
      </c>
      <c r="AH253" s="19">
        <v>0.76256143004888954</v>
      </c>
      <c r="AI253" s="19">
        <v>8.5247375870123765</v>
      </c>
      <c r="AJ253" s="19">
        <v>13.062552139376775</v>
      </c>
      <c r="AK253" s="19">
        <v>6.3090670205880013</v>
      </c>
      <c r="AL253" s="19">
        <v>6.2236156171872681</v>
      </c>
      <c r="AM253" s="19">
        <v>2.159306254641169</v>
      </c>
      <c r="AN253" s="19">
        <v>1.7523204284596703</v>
      </c>
      <c r="AO253" s="19">
        <v>5.0443941193584534</v>
      </c>
      <c r="AP253" s="19">
        <v>3.4246534048984505</v>
      </c>
      <c r="AQ253" s="81">
        <v>4.0900065299038175</v>
      </c>
    </row>
    <row r="254" spans="1:43">
      <c r="A254" s="54">
        <v>253</v>
      </c>
      <c r="B254" s="55" t="s">
        <v>548</v>
      </c>
      <c r="C254" s="56"/>
      <c r="D254" s="57" t="s">
        <v>549</v>
      </c>
      <c r="E254" s="58" t="s">
        <v>517</v>
      </c>
      <c r="F254" s="59">
        <v>2004</v>
      </c>
      <c r="G254" s="60">
        <v>42.436799999999998</v>
      </c>
      <c r="H254" s="60">
        <v>-82.525779999999997</v>
      </c>
      <c r="I254" s="61"/>
      <c r="J254" s="61"/>
      <c r="L254" s="62">
        <v>2.1676611562163801</v>
      </c>
      <c r="M254" s="17">
        <f t="shared" si="7"/>
        <v>1</v>
      </c>
      <c r="N254" s="1">
        <v>62</v>
      </c>
      <c r="O254" s="18" t="s">
        <v>549</v>
      </c>
      <c r="P254" s="19">
        <v>1.6634180190061245</v>
      </c>
      <c r="Q254" s="20">
        <v>2.1676611562163801</v>
      </c>
      <c r="R254" s="19">
        <v>1.1092425144509954</v>
      </c>
      <c r="S254" s="19">
        <v>0.37283083908262643</v>
      </c>
      <c r="T254" s="19">
        <v>0.59726444553312541</v>
      </c>
      <c r="U254" s="19">
        <v>1.7070596552350423</v>
      </c>
      <c r="V254" s="19">
        <v>1.4419741739063218E-3</v>
      </c>
      <c r="W254" s="19">
        <v>0.81777782975384994</v>
      </c>
      <c r="X254" s="19">
        <v>1.3482210715710274</v>
      </c>
      <c r="Y254" s="19">
        <v>11.178664851006472</v>
      </c>
      <c r="Z254" s="19">
        <v>4.3274360397113599E-4</v>
      </c>
      <c r="AA254" s="19">
        <v>4.7414669864011474</v>
      </c>
      <c r="AB254" s="19">
        <v>14.449986878008978</v>
      </c>
      <c r="AC254" s="19">
        <v>0.46299460667549885</v>
      </c>
      <c r="AD254" s="19">
        <v>1.7268312170324931</v>
      </c>
      <c r="AE254" s="19">
        <v>2.2421451608495793</v>
      </c>
      <c r="AF254" s="19">
        <v>2.2711268267825155</v>
      </c>
      <c r="AG254" s="19">
        <v>12.200898605038445</v>
      </c>
      <c r="AH254" s="19">
        <v>0.37640152659359805</v>
      </c>
      <c r="AI254" s="19">
        <v>8.8963324039099412</v>
      </c>
      <c r="AJ254" s="19">
        <v>13.100990784092762</v>
      </c>
      <c r="AK254" s="19">
        <v>6.4056520612803709</v>
      </c>
      <c r="AL254" s="19">
        <v>6.2984750347358514</v>
      </c>
      <c r="AM254" s="19">
        <v>2.6031218698399963</v>
      </c>
      <c r="AN254" s="19">
        <v>1.4054478437075351</v>
      </c>
      <c r="AO254" s="19">
        <v>4.9736112755194721</v>
      </c>
      <c r="AP254" s="19">
        <v>3.0808281845960459</v>
      </c>
      <c r="AQ254" s="81">
        <v>4.3875004064809842</v>
      </c>
    </row>
    <row r="255" spans="1:43">
      <c r="A255" s="63">
        <v>254</v>
      </c>
      <c r="B255" s="55" t="s">
        <v>550</v>
      </c>
      <c r="C255" s="56"/>
      <c r="D255" s="57" t="s">
        <v>551</v>
      </c>
      <c r="E255" s="58" t="s">
        <v>517</v>
      </c>
      <c r="F255" s="59">
        <v>2004</v>
      </c>
      <c r="G255" s="60">
        <v>42.569870000000002</v>
      </c>
      <c r="H255" s="60">
        <v>-82.570869999999999</v>
      </c>
      <c r="I255" s="61"/>
      <c r="J255" s="61"/>
      <c r="L255" s="62">
        <v>1.4674452331883101</v>
      </c>
      <c r="M255" s="17">
        <f t="shared" si="7"/>
        <v>1</v>
      </c>
      <c r="N255" s="1">
        <v>9</v>
      </c>
      <c r="O255" s="18" t="s">
        <v>551</v>
      </c>
      <c r="P255" s="19">
        <v>1.3030180633303103</v>
      </c>
      <c r="Q255" s="20">
        <v>1.4674452331883101</v>
      </c>
      <c r="R255" s="19">
        <v>0.42036128315014404</v>
      </c>
      <c r="S255" s="19">
        <v>4.3216059500934675E-3</v>
      </c>
      <c r="T255" s="19">
        <v>0.25305612649061598</v>
      </c>
      <c r="U255" s="19">
        <v>5.223738173285712</v>
      </c>
      <c r="V255" s="19">
        <v>0.43128236493248828</v>
      </c>
      <c r="W255" s="19">
        <v>0.89906497143769837</v>
      </c>
      <c r="X255" s="19">
        <v>0.78819006421347537</v>
      </c>
      <c r="Y255" s="19">
        <v>11.534302882454631</v>
      </c>
      <c r="Z255" s="19">
        <v>2.4523731237014032E-4</v>
      </c>
      <c r="AA255" s="19">
        <v>4.9312102748039317</v>
      </c>
      <c r="AB255" s="19">
        <v>15.466936773190374</v>
      </c>
      <c r="AC255" s="19">
        <v>0.58534716811202026</v>
      </c>
      <c r="AD255" s="19">
        <v>2.0700457881729299</v>
      </c>
      <c r="AE255" s="19">
        <v>2.6085727159038017</v>
      </c>
      <c r="AF255" s="19">
        <v>2.1842802944193824</v>
      </c>
      <c r="AG255" s="19">
        <v>12.596422730717526</v>
      </c>
      <c r="AH255" s="19">
        <v>0.21138606167942933</v>
      </c>
      <c r="AI255" s="19">
        <v>9.3604081748240162</v>
      </c>
      <c r="AJ255" s="19">
        <v>14.021587298124501</v>
      </c>
      <c r="AK255" s="19">
        <v>7.4220647661728121</v>
      </c>
      <c r="AL255" s="19">
        <v>6.9852727142534468</v>
      </c>
      <c r="AM255" s="19">
        <v>2.8274125743988576</v>
      </c>
      <c r="AN255" s="19">
        <v>1.5420103555366091</v>
      </c>
      <c r="AO255" s="19">
        <v>5.2839217723076173</v>
      </c>
      <c r="AP255" s="19">
        <v>3.3647124929766017</v>
      </c>
      <c r="AQ255" s="81">
        <v>4.7506065048355923</v>
      </c>
    </row>
    <row r="256" spans="1:43">
      <c r="A256" s="54">
        <v>255</v>
      </c>
      <c r="B256" s="55" t="s">
        <v>552</v>
      </c>
      <c r="C256" s="56"/>
      <c r="D256" s="57" t="s">
        <v>553</v>
      </c>
      <c r="E256" s="58" t="s">
        <v>517</v>
      </c>
      <c r="F256" s="59">
        <v>2004</v>
      </c>
      <c r="G256" s="60">
        <v>42.542119999999997</v>
      </c>
      <c r="H256" s="60">
        <v>-82.609480000000005</v>
      </c>
      <c r="I256" s="61"/>
      <c r="J256" s="61"/>
      <c r="L256" s="62">
        <v>1.0592690851067901</v>
      </c>
      <c r="M256" s="17">
        <f t="shared" si="7"/>
        <v>1</v>
      </c>
      <c r="N256" s="1">
        <v>5</v>
      </c>
      <c r="O256" s="18" t="s">
        <v>553</v>
      </c>
      <c r="P256" s="19">
        <v>1.0421323595400778</v>
      </c>
      <c r="Q256" s="20">
        <v>1.0592690851067901</v>
      </c>
      <c r="R256" s="19">
        <v>0.29145446275826736</v>
      </c>
      <c r="S256" s="19">
        <v>0.24072400867942162</v>
      </c>
      <c r="T256" s="19">
        <v>0.18624546038173356</v>
      </c>
      <c r="U256" s="19">
        <v>0.88626424782773638</v>
      </c>
      <c r="V256" s="19">
        <v>0.59953978511716599</v>
      </c>
      <c r="W256" s="19">
        <v>0.1551860113212257</v>
      </c>
      <c r="X256" s="19">
        <v>1.1109694657246658</v>
      </c>
      <c r="Y256" s="19">
        <v>10.892542816648552</v>
      </c>
      <c r="Z256" s="19">
        <v>3.7505195598926458E-4</v>
      </c>
      <c r="AA256" s="19">
        <v>4.636914580355878</v>
      </c>
      <c r="AB256" s="19">
        <v>14.895149226845504</v>
      </c>
      <c r="AC256" s="19">
        <v>0.37473347803121404</v>
      </c>
      <c r="AD256" s="19">
        <v>1.5964581395589856</v>
      </c>
      <c r="AE256" s="19">
        <v>2.2603268134703018</v>
      </c>
      <c r="AF256" s="19">
        <v>0.86908175369993124</v>
      </c>
      <c r="AG256" s="19">
        <v>11.916999049082808</v>
      </c>
      <c r="AH256" s="19">
        <v>0.15003969277415322</v>
      </c>
      <c r="AI256" s="19">
        <v>8.386724740799167</v>
      </c>
      <c r="AJ256" s="19">
        <v>13.549664358141603</v>
      </c>
      <c r="AK256" s="19">
        <v>6.6434233163281942</v>
      </c>
      <c r="AL256" s="19">
        <v>6.4703741704162452</v>
      </c>
      <c r="AM256" s="19">
        <v>2.4332265482899031</v>
      </c>
      <c r="AN256" s="19">
        <v>1.0662614422687215</v>
      </c>
      <c r="AO256" s="19">
        <v>4.8242586966033736</v>
      </c>
      <c r="AP256" s="19">
        <v>2.8539956471763932</v>
      </c>
      <c r="AQ256" s="81">
        <v>4.0583164955908231</v>
      </c>
    </row>
    <row r="257" spans="1:43">
      <c r="A257" s="63">
        <v>256</v>
      </c>
      <c r="B257" s="55" t="s">
        <v>554</v>
      </c>
      <c r="C257" s="56"/>
      <c r="D257" s="57" t="s">
        <v>555</v>
      </c>
      <c r="E257" s="58" t="s">
        <v>517</v>
      </c>
      <c r="F257" s="59">
        <v>2004</v>
      </c>
      <c r="G257" s="60">
        <v>42.50403</v>
      </c>
      <c r="H257" s="60">
        <v>-82.502319999999997</v>
      </c>
      <c r="I257" s="61"/>
      <c r="J257" s="61"/>
      <c r="L257" s="62">
        <v>3.9933656545037102</v>
      </c>
      <c r="M257" s="17">
        <f t="shared" si="7"/>
        <v>1</v>
      </c>
      <c r="N257" s="1">
        <v>147</v>
      </c>
      <c r="O257" s="18" t="s">
        <v>555</v>
      </c>
      <c r="P257" s="19">
        <v>2.3200125563022507</v>
      </c>
      <c r="Q257" s="20">
        <v>3.9933656545037106</v>
      </c>
      <c r="R257" s="19">
        <v>0.8258310406081194</v>
      </c>
      <c r="S257" s="19">
        <v>0.82142868631558086</v>
      </c>
      <c r="T257" s="19">
        <v>0.77726961286739482</v>
      </c>
      <c r="U257" s="19">
        <v>3.3503300143476391</v>
      </c>
      <c r="V257" s="19">
        <v>7.1955014042037659E-3</v>
      </c>
      <c r="W257" s="19">
        <v>0.2039848987718112</v>
      </c>
      <c r="X257" s="19">
        <v>1.2793986367397754</v>
      </c>
      <c r="Y257" s="19">
        <v>13.215836309962455</v>
      </c>
      <c r="Z257" s="19">
        <v>3.8947508426937465E-4</v>
      </c>
      <c r="AA257" s="19">
        <v>5.1305190830273384</v>
      </c>
      <c r="AB257" s="19">
        <v>15.452209060043346</v>
      </c>
      <c r="AC257" s="19">
        <v>0.99334829212757014</v>
      </c>
      <c r="AD257" s="19">
        <v>2.8503993967702543</v>
      </c>
      <c r="AE257" s="19">
        <v>4.1292830169449664</v>
      </c>
      <c r="AF257" s="19">
        <v>4.4828482830684653</v>
      </c>
      <c r="AG257" s="19">
        <v>13.813881374894095</v>
      </c>
      <c r="AH257" s="19">
        <v>0.85662721169839007</v>
      </c>
      <c r="AI257" s="19">
        <v>11.232420927176076</v>
      </c>
      <c r="AJ257" s="19">
        <v>14.466650059591162</v>
      </c>
      <c r="AK257" s="19">
        <v>7.8233672400462355</v>
      </c>
      <c r="AL257" s="19">
        <v>7.3237303375213481</v>
      </c>
      <c r="AM257" s="19">
        <v>4.3233700690612684</v>
      </c>
      <c r="AN257" s="19">
        <v>3.0266230306864115</v>
      </c>
      <c r="AO257" s="19">
        <v>4.6357543912777599</v>
      </c>
      <c r="AP257" s="19">
        <v>4.7009944941682669</v>
      </c>
      <c r="AQ257" s="81">
        <v>6.2125693388508063</v>
      </c>
    </row>
    <row r="258" spans="1:43">
      <c r="A258" s="54">
        <v>257</v>
      </c>
      <c r="B258" s="55" t="s">
        <v>556</v>
      </c>
      <c r="C258" s="56"/>
      <c r="D258" s="57" t="s">
        <v>557</v>
      </c>
      <c r="E258" s="58" t="s">
        <v>517</v>
      </c>
      <c r="F258" s="59">
        <v>2005</v>
      </c>
      <c r="G258" s="60">
        <v>42.637479999999996</v>
      </c>
      <c r="H258" s="60">
        <v>-82.50282</v>
      </c>
      <c r="I258" s="61"/>
      <c r="J258" s="61"/>
      <c r="L258" s="62">
        <v>2.76</v>
      </c>
      <c r="M258" s="17">
        <f t="shared" si="7"/>
        <v>1</v>
      </c>
      <c r="N258" s="1">
        <v>67</v>
      </c>
      <c r="O258" s="18" t="s">
        <v>557</v>
      </c>
      <c r="P258" s="19">
        <v>1.9107326619029128</v>
      </c>
      <c r="Q258" s="20">
        <v>2.7600000000000002</v>
      </c>
      <c r="R258" s="19">
        <v>0.85654324178218699</v>
      </c>
      <c r="S258" s="19">
        <v>0.43211310745729925</v>
      </c>
      <c r="T258" s="19">
        <v>2.1035873287709226</v>
      </c>
      <c r="U258" s="19">
        <v>3.580723202556936</v>
      </c>
      <c r="V258" s="19">
        <v>3.8577308595740059</v>
      </c>
      <c r="W258" s="19">
        <v>3.2806145083241478E-2</v>
      </c>
      <c r="X258" s="19">
        <v>4.4904103935955728</v>
      </c>
      <c r="Y258" s="19">
        <v>12.781564627244327</v>
      </c>
      <c r="Z258" s="19">
        <v>2.0018022426339854</v>
      </c>
      <c r="AA258" s="19">
        <v>4.9813960319721486</v>
      </c>
      <c r="AB258" s="19">
        <v>16.045183730953372</v>
      </c>
      <c r="AC258" s="19">
        <v>0.94792793123809405</v>
      </c>
      <c r="AD258" s="19">
        <v>3.0691865808097409</v>
      </c>
      <c r="AE258" s="19">
        <v>4.1325768426700087</v>
      </c>
      <c r="AF258" s="19">
        <v>4.6484654430273142</v>
      </c>
      <c r="AG258" s="19">
        <v>13.797762835150587</v>
      </c>
      <c r="AH258" s="19">
        <v>0.58784500925427763</v>
      </c>
      <c r="AI258" s="19">
        <v>10.701306461958625</v>
      </c>
      <c r="AJ258" s="19">
        <v>14.772675408770741</v>
      </c>
      <c r="AK258" s="19">
        <v>8.0906417519178468</v>
      </c>
      <c r="AL258" s="19">
        <v>8.0901124196642886</v>
      </c>
      <c r="AM258" s="19">
        <v>4.3441183345214283</v>
      </c>
      <c r="AN258" s="19">
        <v>3.2354207226374405</v>
      </c>
      <c r="AO258" s="19">
        <v>4.3015876466031866</v>
      </c>
      <c r="AP258" s="19">
        <v>4.784503982929567</v>
      </c>
      <c r="AQ258" s="81">
        <v>6.4025857582325871</v>
      </c>
    </row>
    <row r="259" spans="1:43">
      <c r="A259" s="63">
        <v>258</v>
      </c>
      <c r="B259" s="55" t="s">
        <v>558</v>
      </c>
      <c r="C259" s="56"/>
      <c r="D259" s="57" t="s">
        <v>559</v>
      </c>
      <c r="E259" s="58" t="s">
        <v>517</v>
      </c>
      <c r="F259" s="59">
        <v>2004</v>
      </c>
      <c r="G259" s="60">
        <v>42.549280000000003</v>
      </c>
      <c r="H259" s="60">
        <v>-82.420569999999998</v>
      </c>
      <c r="I259" s="61"/>
      <c r="J259" s="61"/>
      <c r="L259" s="62">
        <v>1.8420334489883501</v>
      </c>
      <c r="M259" s="17">
        <f t="shared" si="7"/>
        <v>1</v>
      </c>
      <c r="N259" s="1">
        <v>8</v>
      </c>
      <c r="O259" s="18" t="s">
        <v>559</v>
      </c>
      <c r="P259" s="19">
        <v>1.50692353431526</v>
      </c>
      <c r="Q259" s="20">
        <v>1.8420334489883503</v>
      </c>
      <c r="R259" s="19">
        <v>0.59693353406147387</v>
      </c>
      <c r="S259" s="19">
        <v>2.8569152196770919E-2</v>
      </c>
      <c r="T259" s="19">
        <v>0.15364397653485484</v>
      </c>
      <c r="U259" s="19">
        <v>0.83777673854847967</v>
      </c>
      <c r="V259" s="19">
        <v>0.36734079827840399</v>
      </c>
      <c r="W259" s="19">
        <v>0.28354781337488472</v>
      </c>
      <c r="X259" s="19">
        <v>1.6193972510142092</v>
      </c>
      <c r="Y259" s="19">
        <v>11.950191349972702</v>
      </c>
      <c r="Z259" s="19">
        <v>6.202255286480822E-4</v>
      </c>
      <c r="AA259" s="19">
        <v>4.8444860877577991</v>
      </c>
      <c r="AB259" s="19">
        <v>15.225847588750289</v>
      </c>
      <c r="AC259" s="19">
        <v>0.42728434617368183</v>
      </c>
      <c r="AD259" s="19">
        <v>1.834711215804725</v>
      </c>
      <c r="AE259" s="19">
        <v>2.7798900393400472</v>
      </c>
      <c r="AF259" s="19">
        <v>1.8547935979936871</v>
      </c>
      <c r="AG259" s="19">
        <v>12.488342277532524</v>
      </c>
      <c r="AH259" s="19">
        <v>0.12008647067252551</v>
      </c>
      <c r="AI259" s="19">
        <v>9.6815898172212389</v>
      </c>
      <c r="AJ259" s="19">
        <v>13.615514694925979</v>
      </c>
      <c r="AK259" s="19">
        <v>7.1517776547320535</v>
      </c>
      <c r="AL259" s="19">
        <v>6.6019935812489976</v>
      </c>
      <c r="AM259" s="19">
        <v>2.8174186054023016</v>
      </c>
      <c r="AN259" s="19">
        <v>3.7505195598926458E-4</v>
      </c>
      <c r="AO259" s="19">
        <v>5.1803070199694332</v>
      </c>
      <c r="AP259" s="19">
        <v>3.3567072529353812</v>
      </c>
      <c r="AQ259" s="81">
        <v>4.1594677292667663</v>
      </c>
    </row>
    <row r="260" spans="1:43">
      <c r="A260" s="54">
        <v>259</v>
      </c>
      <c r="B260" s="55" t="s">
        <v>560</v>
      </c>
      <c r="C260" s="56"/>
      <c r="D260" s="57" t="s">
        <v>561</v>
      </c>
      <c r="E260" s="58" t="s">
        <v>517</v>
      </c>
      <c r="F260" s="59">
        <v>2005</v>
      </c>
      <c r="G260" s="60">
        <v>42.5456</v>
      </c>
      <c r="H260" s="60">
        <v>-82.421130000000005</v>
      </c>
      <c r="I260" s="61"/>
      <c r="J260" s="61"/>
      <c r="L260" s="62">
        <v>1.53</v>
      </c>
      <c r="M260" s="17">
        <f t="shared" si="7"/>
        <v>1</v>
      </c>
      <c r="N260" s="1">
        <v>25</v>
      </c>
      <c r="O260" s="18" t="s">
        <v>561</v>
      </c>
      <c r="P260" s="19">
        <v>1.3391373849195856</v>
      </c>
      <c r="Q260" s="20">
        <v>1.5299999999999998</v>
      </c>
      <c r="R260" s="19">
        <v>0.48018186086272591</v>
      </c>
      <c r="S260" s="19">
        <v>2.882508533121365E-3</v>
      </c>
      <c r="T260" s="19">
        <v>0.61693028509291281</v>
      </c>
      <c r="U260" s="19">
        <v>2.3707016315616638</v>
      </c>
      <c r="V260" s="19">
        <v>0.83816417029349244</v>
      </c>
      <c r="W260" s="19">
        <v>1.4355292977070054E-2</v>
      </c>
      <c r="X260" s="19">
        <v>2.3122580808862256</v>
      </c>
      <c r="Y260" s="19">
        <v>12.006326078524934</v>
      </c>
      <c r="Z260" s="19">
        <v>1.4426229109453829E-4</v>
      </c>
      <c r="AA260" s="19">
        <v>4.4442695024134817</v>
      </c>
      <c r="AB260" s="19">
        <v>15.185378772983091</v>
      </c>
      <c r="AC260" s="19">
        <v>0.36019569473235818</v>
      </c>
      <c r="AD260" s="19">
        <v>1.901494455047575</v>
      </c>
      <c r="AE260" s="19">
        <v>3.0131048916994865</v>
      </c>
      <c r="AF260" s="19">
        <v>2.9053508995809585</v>
      </c>
      <c r="AG260" s="19">
        <v>12.565102078360313</v>
      </c>
      <c r="AH260" s="19">
        <v>8.0548519166413424E-2</v>
      </c>
      <c r="AI260" s="19">
        <v>9.7945783228607102</v>
      </c>
      <c r="AJ260" s="19">
        <v>13.586487982625991</v>
      </c>
      <c r="AK260" s="19">
        <v>7.1789137846695672</v>
      </c>
      <c r="AL260" s="19">
        <v>7.2307410026269094</v>
      </c>
      <c r="AM260" s="19">
        <v>3.0748479159001674</v>
      </c>
      <c r="AN260" s="19">
        <v>1.2756030793368496</v>
      </c>
      <c r="AO260" s="19">
        <v>4.8384475925484578</v>
      </c>
      <c r="AP260" s="19">
        <v>3.5223068928713888</v>
      </c>
      <c r="AQ260" s="81">
        <v>4.2935176304174245</v>
      </c>
    </row>
    <row r="261" spans="1:43">
      <c r="A261" s="63">
        <v>260</v>
      </c>
      <c r="B261" s="55" t="s">
        <v>562</v>
      </c>
      <c r="C261" s="56"/>
      <c r="D261" s="57" t="s">
        <v>563</v>
      </c>
      <c r="E261" s="58" t="s">
        <v>517</v>
      </c>
      <c r="F261" s="59">
        <v>2004</v>
      </c>
      <c r="G261" s="60">
        <v>42.63503</v>
      </c>
      <c r="H261" s="60">
        <v>-82.514799999999994</v>
      </c>
      <c r="I261" s="61"/>
      <c r="J261" s="61"/>
      <c r="L261" s="62">
        <v>1.5209125475285199</v>
      </c>
      <c r="M261" s="17">
        <f t="shared" si="7"/>
        <v>1</v>
      </c>
      <c r="N261" s="1">
        <v>78</v>
      </c>
      <c r="O261" s="18" t="s">
        <v>563</v>
      </c>
      <c r="P261" s="19">
        <v>1.333946070820287</v>
      </c>
      <c r="Q261" s="20">
        <v>1.5209125475285199</v>
      </c>
      <c r="R261" s="19">
        <v>0.36699219989046866</v>
      </c>
      <c r="S261" s="19">
        <v>0.190479204067554</v>
      </c>
      <c r="T261" s="19">
        <v>0.99596444007206142</v>
      </c>
      <c r="U261" s="19">
        <v>0.54857152112177188</v>
      </c>
      <c r="V261" s="19">
        <v>0.18446755498366679</v>
      </c>
      <c r="W261" s="19">
        <v>1.1194815710978192</v>
      </c>
      <c r="X261" s="19">
        <v>2.3832628428449349</v>
      </c>
      <c r="Y261" s="19">
        <v>11.591054774036781</v>
      </c>
      <c r="Z261" s="19">
        <v>5.7696263152051458E-4</v>
      </c>
      <c r="AA261" s="19">
        <v>4.6684595569153817</v>
      </c>
      <c r="AB261" s="19">
        <v>14.38201602135096</v>
      </c>
      <c r="AC261" s="19">
        <v>0.50974650636565477</v>
      </c>
      <c r="AD261" s="19">
        <v>1.8163949091691212</v>
      </c>
      <c r="AE261" s="19">
        <v>2.627373373440915</v>
      </c>
      <c r="AF261" s="19">
        <v>2.3348542693316325</v>
      </c>
      <c r="AG261" s="19">
        <v>12.400345796534694</v>
      </c>
      <c r="AH261" s="19">
        <v>6.4262055736399884E-2</v>
      </c>
      <c r="AI261" s="19">
        <v>9.2948504591127783</v>
      </c>
      <c r="AJ261" s="19">
        <v>13.341657804512234</v>
      </c>
      <c r="AK261" s="19">
        <v>6.7251958172266635</v>
      </c>
      <c r="AL261" s="19">
        <v>6.4347950035505441</v>
      </c>
      <c r="AM261" s="19">
        <v>2.7955591714385624</v>
      </c>
      <c r="AN261" s="19">
        <v>2.1833277060448006</v>
      </c>
      <c r="AO261" s="19">
        <v>5.0967678547146891</v>
      </c>
      <c r="AP261" s="19">
        <v>3.4672794804599825</v>
      </c>
      <c r="AQ261" s="81">
        <v>5.0652276227756197</v>
      </c>
    </row>
    <row r="262" spans="1:43">
      <c r="A262" s="54">
        <v>261</v>
      </c>
      <c r="B262" s="55" t="s">
        <v>564</v>
      </c>
      <c r="C262" s="56"/>
      <c r="D262" s="57" t="s">
        <v>565</v>
      </c>
      <c r="E262" s="58" t="s">
        <v>517</v>
      </c>
      <c r="F262" s="59">
        <v>2004</v>
      </c>
      <c r="G262" s="60">
        <v>42.576970000000003</v>
      </c>
      <c r="H262" s="60">
        <v>-82.568650000000005</v>
      </c>
      <c r="I262" s="61"/>
      <c r="J262" s="61"/>
      <c r="L262" s="62">
        <v>1.2125437910275101</v>
      </c>
      <c r="M262" s="17">
        <f t="shared" si="7"/>
        <v>1</v>
      </c>
      <c r="N262" s="1">
        <v>7</v>
      </c>
      <c r="O262" s="18" t="s">
        <v>565</v>
      </c>
      <c r="P262" s="19">
        <v>1.1457060095337208</v>
      </c>
      <c r="Q262" s="20">
        <v>1.2125437910275103</v>
      </c>
      <c r="R262" s="19">
        <v>0.89009176336436302</v>
      </c>
      <c r="S262" s="19">
        <v>5.7592692886849527E-3</v>
      </c>
      <c r="T262" s="19">
        <v>0.41729894182967142</v>
      </c>
      <c r="U262" s="19">
        <v>1.8399412908687771</v>
      </c>
      <c r="V262" s="19">
        <v>0.5275284834957108</v>
      </c>
      <c r="W262" s="19">
        <v>0.19595473524885662</v>
      </c>
      <c r="X262" s="19">
        <v>0.93704436211235764</v>
      </c>
      <c r="Y262" s="19">
        <v>11.340962764251699</v>
      </c>
      <c r="Z262" s="19">
        <v>7.3558691213057505E-4</v>
      </c>
      <c r="AA262" s="19">
        <v>4.6241008946281141</v>
      </c>
      <c r="AB262" s="19">
        <v>14.794161991423643</v>
      </c>
      <c r="AC262" s="19">
        <v>0.46058531325366775</v>
      </c>
      <c r="AD262" s="19">
        <v>1.864334740782428</v>
      </c>
      <c r="AE262" s="19">
        <v>2.4135940824091753</v>
      </c>
      <c r="AF262" s="19">
        <v>1.6553518286125541</v>
      </c>
      <c r="AG262" s="19">
        <v>12.324180546618742</v>
      </c>
      <c r="AH262" s="19">
        <v>0.18485154568041529</v>
      </c>
      <c r="AI262" s="19">
        <v>9.2150475707232804</v>
      </c>
      <c r="AJ262" s="19">
        <v>13.358239100426132</v>
      </c>
      <c r="AK262" s="19">
        <v>6.8801957289430984</v>
      </c>
      <c r="AL262" s="19">
        <v>6.9401667504828168</v>
      </c>
      <c r="AM262" s="19">
        <v>2.5952649420375842</v>
      </c>
      <c r="AN262" s="19">
        <v>1.4292142298395849</v>
      </c>
      <c r="AO262" s="19">
        <v>5.0531113364595628</v>
      </c>
      <c r="AP262" s="19">
        <v>3.2764966656403565</v>
      </c>
      <c r="AQ262" s="81">
        <v>4.3902549563218676</v>
      </c>
    </row>
    <row r="263" spans="1:43">
      <c r="A263" s="63">
        <v>262</v>
      </c>
      <c r="B263" s="55" t="s">
        <v>566</v>
      </c>
      <c r="C263" s="56"/>
      <c r="D263" s="57" t="s">
        <v>567</v>
      </c>
      <c r="E263" s="58" t="s">
        <v>517</v>
      </c>
      <c r="F263" s="59">
        <v>2004</v>
      </c>
      <c r="G263" s="60">
        <v>42.570770000000003</v>
      </c>
      <c r="H263" s="60">
        <v>-82.578029999999998</v>
      </c>
      <c r="I263" s="61"/>
      <c r="J263" s="61"/>
      <c r="L263" s="62">
        <v>0.54107831672281703</v>
      </c>
      <c r="M263" s="17">
        <f t="shared" si="7"/>
        <v>1</v>
      </c>
      <c r="N263" s="1">
        <v>4</v>
      </c>
      <c r="O263" s="18" t="s">
        <v>567</v>
      </c>
      <c r="P263" s="19">
        <v>0.6239401806564665</v>
      </c>
      <c r="Q263" s="20">
        <v>0.54107831672281703</v>
      </c>
      <c r="R263" s="19">
        <v>0.39369916439052283</v>
      </c>
      <c r="S263" s="19">
        <v>1.0063683344697479E-2</v>
      </c>
      <c r="T263" s="19">
        <v>0.7237902385545617</v>
      </c>
      <c r="U263" s="19">
        <v>0.33932722147263911</v>
      </c>
      <c r="V263" s="19">
        <v>0.78900254221834709</v>
      </c>
      <c r="W263" s="19">
        <v>0.20553680727050014</v>
      </c>
      <c r="X263" s="19">
        <v>0.34999630512805607</v>
      </c>
      <c r="Y263" s="19">
        <v>10.449148645375436</v>
      </c>
      <c r="Z263" s="19">
        <v>1.8753816559884771E-4</v>
      </c>
      <c r="AA263" s="19">
        <v>4.1570437101455804</v>
      </c>
      <c r="AB263" s="19">
        <v>14.082731192408678</v>
      </c>
      <c r="AC263" s="19">
        <v>0.30789477551250127</v>
      </c>
      <c r="AD263" s="19">
        <v>1.2957230245399685</v>
      </c>
      <c r="AE263" s="19">
        <v>1.6870606883398924</v>
      </c>
      <c r="AF263" s="19">
        <v>0.9698964472963324</v>
      </c>
      <c r="AG263" s="19">
        <v>11.480285320936371</v>
      </c>
      <c r="AH263" s="19">
        <v>6.7308290861576456E-2</v>
      </c>
      <c r="AI263" s="19">
        <v>8.1344263202209266</v>
      </c>
      <c r="AJ263" s="19">
        <v>12.684310311124349</v>
      </c>
      <c r="AK263" s="19">
        <v>5.9312102748039317</v>
      </c>
      <c r="AL263" s="19">
        <v>6.5066844477307608</v>
      </c>
      <c r="AM263" s="19">
        <v>1.7544599736254787</v>
      </c>
      <c r="AN263" s="19">
        <v>1.4921095526526127</v>
      </c>
      <c r="AO263" s="19">
        <v>4.3504972470841334</v>
      </c>
      <c r="AP263" s="19">
        <v>2.4691045218683088</v>
      </c>
      <c r="AQ263" s="81">
        <v>3.7665951617292701</v>
      </c>
    </row>
    <row r="264" spans="1:43">
      <c r="A264" s="54">
        <v>263</v>
      </c>
      <c r="B264" s="55" t="s">
        <v>568</v>
      </c>
      <c r="C264" s="56"/>
      <c r="D264" s="57" t="s">
        <v>569</v>
      </c>
      <c r="E264" s="58" t="s">
        <v>517</v>
      </c>
      <c r="F264" s="59">
        <v>2004</v>
      </c>
      <c r="G264" s="60">
        <v>42.558280000000003</v>
      </c>
      <c r="H264" s="60">
        <v>-82.628330000000005</v>
      </c>
      <c r="I264" s="61"/>
      <c r="J264" s="61"/>
      <c r="L264" s="62">
        <v>0.850441042680259</v>
      </c>
      <c r="M264" s="17">
        <f t="shared" si="7"/>
        <v>1</v>
      </c>
      <c r="N264" s="1">
        <v>16</v>
      </c>
      <c r="O264" s="18" t="s">
        <v>569</v>
      </c>
      <c r="P264" s="19">
        <v>0.88786917033804302</v>
      </c>
      <c r="Q264" s="20">
        <v>0.85044104268025889</v>
      </c>
      <c r="R264" s="19">
        <v>0.53483284676433607</v>
      </c>
      <c r="S264" s="19">
        <v>2.0057652341253476E-2</v>
      </c>
      <c r="T264" s="19">
        <v>0.91829290329384861</v>
      </c>
      <c r="U264" s="19">
        <v>0.62743484756889367</v>
      </c>
      <c r="V264" s="19">
        <v>1.1495638837829437E-2</v>
      </c>
      <c r="W264" s="19">
        <v>0.19855346681065869</v>
      </c>
      <c r="X264" s="19">
        <v>0.64221665830792118</v>
      </c>
      <c r="Y264" s="19">
        <v>11.29117069932186</v>
      </c>
      <c r="Z264" s="19">
        <v>6.6348712846603841E-4</v>
      </c>
      <c r="AA264" s="19">
        <v>4.843481425432457</v>
      </c>
      <c r="AB264" s="19">
        <v>14.746146882569786</v>
      </c>
      <c r="AC264" s="19">
        <v>0.48686880134414823</v>
      </c>
      <c r="AD264" s="19">
        <v>2.0373822220030804</v>
      </c>
      <c r="AE264" s="19">
        <v>2.3645724322958563</v>
      </c>
      <c r="AF264" s="19">
        <v>2.272620454662992</v>
      </c>
      <c r="AG264" s="19">
        <v>12.462246634244352</v>
      </c>
      <c r="AH264" s="19">
        <v>7.9797929332107512E-2</v>
      </c>
      <c r="AI264" s="19">
        <v>9.0078682433333395</v>
      </c>
      <c r="AJ264" s="19">
        <v>13.827838867887555</v>
      </c>
      <c r="AK264" s="19">
        <v>6.7826706586770067</v>
      </c>
      <c r="AL264" s="19">
        <v>6.8960296029767516</v>
      </c>
      <c r="AM264" s="19">
        <v>2.6901935778248549</v>
      </c>
      <c r="AN264" s="19">
        <v>1.6238668618526981</v>
      </c>
      <c r="AO264" s="19">
        <v>5.141187525004999</v>
      </c>
      <c r="AP264" s="19">
        <v>3.1071856838799747</v>
      </c>
      <c r="AQ264" s="81">
        <v>4.7964939294258375</v>
      </c>
    </row>
    <row r="265" spans="1:43">
      <c r="A265" s="63">
        <v>264</v>
      </c>
      <c r="B265" s="55" t="s">
        <v>570</v>
      </c>
      <c r="C265" s="56"/>
      <c r="D265" s="57" t="s">
        <v>571</v>
      </c>
      <c r="E265" s="58" t="s">
        <v>517</v>
      </c>
      <c r="F265" s="59">
        <v>2004</v>
      </c>
      <c r="G265" s="60">
        <v>42.546080000000003</v>
      </c>
      <c r="H265" s="60">
        <v>-82.65795</v>
      </c>
      <c r="I265" s="61"/>
      <c r="J265" s="61"/>
      <c r="L265" s="62">
        <v>1.7451125189474901</v>
      </c>
      <c r="M265" s="17">
        <f t="shared" si="7"/>
        <v>1</v>
      </c>
      <c r="N265" s="1">
        <v>60</v>
      </c>
      <c r="O265" s="18" t="s">
        <v>571</v>
      </c>
      <c r="P265" s="19">
        <v>1.4568652848226908</v>
      </c>
      <c r="Q265" s="20">
        <v>1.7451125189474901</v>
      </c>
      <c r="R265" s="19">
        <v>0.75590566127136116</v>
      </c>
      <c r="S265" s="19">
        <v>0.3995849624684169</v>
      </c>
      <c r="T265" s="19">
        <v>0.69936029659272581</v>
      </c>
      <c r="U265" s="19">
        <v>2.3838251798175918</v>
      </c>
      <c r="V265" s="19">
        <v>1.4757487565015976</v>
      </c>
      <c r="W265" s="19">
        <v>0.50922494162679732</v>
      </c>
      <c r="X265" s="19">
        <v>2.0378398509923432</v>
      </c>
      <c r="Y265" s="19">
        <v>11.711236767793784</v>
      </c>
      <c r="Z265" s="19">
        <v>1.1563966165976653</v>
      </c>
      <c r="AA265" s="19">
        <v>4.0583164955908231</v>
      </c>
      <c r="AB265" s="19">
        <v>14.741940924878135</v>
      </c>
      <c r="AC265" s="19">
        <v>0.48552987313585044</v>
      </c>
      <c r="AD265" s="19">
        <v>1.9575432007571052</v>
      </c>
      <c r="AE265" s="19">
        <v>2.7110543218120666</v>
      </c>
      <c r="AF265" s="19">
        <v>2.5076678042901448</v>
      </c>
      <c r="AG265" s="19">
        <v>12.700656452918167</v>
      </c>
      <c r="AH265" s="19">
        <v>1.0306892040711404</v>
      </c>
      <c r="AI265" s="19">
        <v>9.5040244426363643</v>
      </c>
      <c r="AJ265" s="19">
        <v>13.603973996309024</v>
      </c>
      <c r="AK265" s="19">
        <v>7.0800180290891745</v>
      </c>
      <c r="AL265" s="19">
        <v>6.867896463992655</v>
      </c>
      <c r="AM265" s="19">
        <v>2.8863550435251559</v>
      </c>
      <c r="AN265" s="19">
        <v>2.3109217352303437</v>
      </c>
      <c r="AO265" s="19">
        <v>3.5909612413425993</v>
      </c>
      <c r="AP265" s="19">
        <v>3.5235619560570131</v>
      </c>
      <c r="AQ265" s="81">
        <v>4.8088998392577693</v>
      </c>
    </row>
    <row r="266" spans="1:43">
      <c r="A266" s="54">
        <v>265</v>
      </c>
      <c r="B266" s="55" t="s">
        <v>572</v>
      </c>
      <c r="C266" s="56"/>
      <c r="D266" s="57" t="s">
        <v>573</v>
      </c>
      <c r="E266" s="58" t="s">
        <v>517</v>
      </c>
      <c r="F266" s="59">
        <v>2004</v>
      </c>
      <c r="G266" s="60">
        <v>42.537269999999999</v>
      </c>
      <c r="H266" s="60">
        <v>-82.667879999999997</v>
      </c>
      <c r="I266" s="61"/>
      <c r="J266" s="61"/>
      <c r="L266" s="62">
        <v>1.0026892047637299</v>
      </c>
      <c r="M266" s="17">
        <f t="shared" si="7"/>
        <v>1</v>
      </c>
      <c r="N266" s="1">
        <v>38</v>
      </c>
      <c r="O266" s="18" t="s">
        <v>573</v>
      </c>
      <c r="P266" s="19">
        <v>1.001938548191897</v>
      </c>
      <c r="Q266" s="20">
        <v>1.0026892047637297</v>
      </c>
      <c r="R266" s="19">
        <v>1.2926174444270048E-2</v>
      </c>
      <c r="S266" s="19">
        <v>1.7209290032223101E-2</v>
      </c>
      <c r="T266" s="19">
        <v>3.1395196275534325E-2</v>
      </c>
      <c r="U266" s="19">
        <v>0.93999603802732812</v>
      </c>
      <c r="V266" s="19">
        <v>0.96311445702519727</v>
      </c>
      <c r="W266" s="19">
        <v>0.29765538377858741</v>
      </c>
      <c r="X266" s="19">
        <v>1.1517450077644897</v>
      </c>
      <c r="Y266" s="19">
        <v>11.779719355143405</v>
      </c>
      <c r="Z266" s="19">
        <v>1.6438561897747246</v>
      </c>
      <c r="AA266" s="19">
        <v>4.4262647547020979</v>
      </c>
      <c r="AB266" s="19">
        <v>15.140949564435386</v>
      </c>
      <c r="AC266" s="19">
        <v>0.36120689023872982</v>
      </c>
      <c r="AD266" s="19">
        <v>1.9942176474059938</v>
      </c>
      <c r="AE266" s="19">
        <v>3.0340395943536387</v>
      </c>
      <c r="AF266" s="19">
        <v>3.6758159311722696</v>
      </c>
      <c r="AG266" s="19">
        <v>12.873444112515376</v>
      </c>
      <c r="AH266" s="19">
        <v>0.26855416403354349</v>
      </c>
      <c r="AI266" s="19">
        <v>9.4759360424463868</v>
      </c>
      <c r="AJ266" s="19">
        <v>14.016373046170932</v>
      </c>
      <c r="AK266" s="19">
        <v>7.4271032871528408</v>
      </c>
      <c r="AL266" s="19">
        <v>6.4260969897108176</v>
      </c>
      <c r="AM266" s="19">
        <v>3.0798047546352585</v>
      </c>
      <c r="AN266" s="19">
        <v>2.1292830169449664</v>
      </c>
      <c r="AO266" s="19">
        <v>4.889960199658641</v>
      </c>
      <c r="AP266" s="19">
        <v>3.773996325111173</v>
      </c>
      <c r="AQ266" s="81">
        <v>4.8016760292535876</v>
      </c>
    </row>
    <row r="267" spans="1:43">
      <c r="A267" s="63">
        <v>266</v>
      </c>
      <c r="B267" s="55" t="s">
        <v>574</v>
      </c>
      <c r="C267" s="56"/>
      <c r="D267" s="57" t="s">
        <v>575</v>
      </c>
      <c r="E267" s="58" t="s">
        <v>517</v>
      </c>
      <c r="F267" s="59">
        <v>2004</v>
      </c>
      <c r="G267" s="60">
        <v>42.624000000000002</v>
      </c>
      <c r="H267" s="60">
        <v>-82.52225</v>
      </c>
      <c r="I267" s="61"/>
      <c r="J267" s="61"/>
      <c r="L267" s="62">
        <v>3.9265762170790199</v>
      </c>
      <c r="M267" s="17">
        <f t="shared" si="7"/>
        <v>1</v>
      </c>
      <c r="N267" s="1">
        <v>188</v>
      </c>
      <c r="O267" s="18" t="s">
        <v>575</v>
      </c>
      <c r="P267" s="19">
        <v>2.3005853767011324</v>
      </c>
      <c r="Q267" s="20">
        <v>3.9265762170790204</v>
      </c>
      <c r="R267" s="19">
        <v>0.40616258923336962</v>
      </c>
      <c r="S267" s="19">
        <v>0.2156344877140485</v>
      </c>
      <c r="T267" s="19">
        <v>0.81039965569044048</v>
      </c>
      <c r="U267" s="19">
        <v>0.45162956873496796</v>
      </c>
      <c r="V267" s="19">
        <v>1.8634174139050975E-2</v>
      </c>
      <c r="W267" s="19">
        <v>0.43759203717600531</v>
      </c>
      <c r="X267" s="19">
        <v>1.5027410092003941</v>
      </c>
      <c r="Y267" s="19">
        <v>12.207929445511667</v>
      </c>
      <c r="Z267" s="19">
        <v>1.6107000621347642</v>
      </c>
      <c r="AA267" s="19">
        <v>2.1638802743712018E-4</v>
      </c>
      <c r="AB267" s="19">
        <v>14.893254122910216</v>
      </c>
      <c r="AC267" s="19">
        <v>0.56208364269615918</v>
      </c>
      <c r="AD267" s="19">
        <v>2.1544535926798725</v>
      </c>
      <c r="AE267" s="19">
        <v>3.1880843705611528</v>
      </c>
      <c r="AF267" s="19">
        <v>4.2630344058337934</v>
      </c>
      <c r="AG267" s="19">
        <v>13.182239149806843</v>
      </c>
      <c r="AH267" s="19">
        <v>6.1375297280012571E-2</v>
      </c>
      <c r="AI267" s="19">
        <v>9.9209482722790376</v>
      </c>
      <c r="AJ267" s="19">
        <v>14.08189947611625</v>
      </c>
      <c r="AK267" s="19">
        <v>7.3845679231738259</v>
      </c>
      <c r="AL267" s="19">
        <v>6.815063017192867</v>
      </c>
      <c r="AM267" s="19">
        <v>3.4508813152733686</v>
      </c>
      <c r="AN267" s="19">
        <v>2.4302852729777809</v>
      </c>
      <c r="AO267" s="19">
        <v>5.6254137750674576E-4</v>
      </c>
      <c r="AP267" s="19">
        <v>4.2494453410858384</v>
      </c>
      <c r="AQ267" s="81">
        <v>5.8019346462733514</v>
      </c>
    </row>
    <row r="268" spans="1:43">
      <c r="A268" s="54">
        <v>267</v>
      </c>
      <c r="B268" s="55" t="s">
        <v>576</v>
      </c>
      <c r="C268" s="56"/>
      <c r="D268" s="57" t="s">
        <v>577</v>
      </c>
      <c r="E268" s="58" t="s">
        <v>517</v>
      </c>
      <c r="F268" s="59">
        <v>2004</v>
      </c>
      <c r="G268" s="60">
        <v>42.611069999999998</v>
      </c>
      <c r="H268" s="60">
        <v>-82.531630000000007</v>
      </c>
      <c r="I268" s="61"/>
      <c r="J268" s="61"/>
      <c r="L268" s="62">
        <v>2.5511717591219099</v>
      </c>
      <c r="M268" s="17">
        <f t="shared" si="7"/>
        <v>1</v>
      </c>
      <c r="N268" s="1">
        <v>83</v>
      </c>
      <c r="O268" s="18" t="s">
        <v>577</v>
      </c>
      <c r="P268" s="19">
        <v>1.8282951407139252</v>
      </c>
      <c r="Q268" s="20">
        <v>2.5511717591219099</v>
      </c>
      <c r="R268" s="19">
        <v>0.42699172491910842</v>
      </c>
      <c r="S268" s="19">
        <v>0.52353649402619618</v>
      </c>
      <c r="T268" s="19">
        <v>0.45343844991713189</v>
      </c>
      <c r="U268" s="19">
        <v>1.3864374764513685</v>
      </c>
      <c r="V268" s="19">
        <v>0.43443784075091929</v>
      </c>
      <c r="W268" s="19">
        <v>0.20687109616092469</v>
      </c>
      <c r="X268" s="19">
        <v>1.1036288612767642</v>
      </c>
      <c r="Y268" s="19">
        <v>11.872290110288091</v>
      </c>
      <c r="Z268" s="19">
        <v>1.5791801481271501</v>
      </c>
      <c r="AA268" s="19">
        <v>4.6011022033764091</v>
      </c>
      <c r="AB268" s="19">
        <v>15.166673083753588</v>
      </c>
      <c r="AC268" s="19">
        <v>0.5724046473903317</v>
      </c>
      <c r="AD268" s="19">
        <v>2.0734775096789684</v>
      </c>
      <c r="AE268" s="19">
        <v>3.0920382566203908</v>
      </c>
      <c r="AF268" s="19">
        <v>3.9963887464476211</v>
      </c>
      <c r="AG268" s="19">
        <v>12.930737337562887</v>
      </c>
      <c r="AH268" s="19">
        <v>0.15185881672700494</v>
      </c>
      <c r="AI268" s="19">
        <v>9.7118390199590277</v>
      </c>
      <c r="AJ268" s="19">
        <v>14.103369777392521</v>
      </c>
      <c r="AK268" s="19">
        <v>7.2890967024199904</v>
      </c>
      <c r="AL268" s="19">
        <v>6.6226375665374588</v>
      </c>
      <c r="AM268" s="19">
        <v>3.3567072529353812</v>
      </c>
      <c r="AN268" s="19">
        <v>2.3417011639273895</v>
      </c>
      <c r="AO268" s="19">
        <v>4.9864109352520449</v>
      </c>
      <c r="AP268" s="19">
        <v>4</v>
      </c>
      <c r="AQ268" s="81">
        <v>5.3875004064809842</v>
      </c>
    </row>
    <row r="269" spans="1:43">
      <c r="A269" s="63">
        <v>268</v>
      </c>
      <c r="B269" s="55" t="s">
        <v>578</v>
      </c>
      <c r="C269" s="56"/>
      <c r="D269" s="57" t="s">
        <v>579</v>
      </c>
      <c r="E269" s="58" t="s">
        <v>517</v>
      </c>
      <c r="F269" s="59">
        <v>2004</v>
      </c>
      <c r="G269" s="60">
        <v>42.622999999999998</v>
      </c>
      <c r="H269" s="60">
        <v>-82.616569999999996</v>
      </c>
      <c r="I269" s="61"/>
      <c r="J269" s="61"/>
      <c r="L269" s="62">
        <v>1.95254764683004</v>
      </c>
      <c r="M269" s="17">
        <f t="shared" si="7"/>
        <v>1</v>
      </c>
      <c r="N269" s="1">
        <v>123</v>
      </c>
      <c r="O269" s="18" t="s">
        <v>579</v>
      </c>
      <c r="P269" s="19">
        <v>1.5619603413466543</v>
      </c>
      <c r="Q269" s="20">
        <v>1.9525476468300402</v>
      </c>
      <c r="R269" s="19">
        <v>0.35150277268231467</v>
      </c>
      <c r="S269" s="19">
        <v>0.29771669764223108</v>
      </c>
      <c r="T269" s="19">
        <v>0.15612856866308972</v>
      </c>
      <c r="U269" s="19">
        <v>0.67769066279177481</v>
      </c>
      <c r="V269" s="19">
        <v>0.15829352515623055</v>
      </c>
      <c r="W269" s="19">
        <v>0.29498383954359897</v>
      </c>
      <c r="X269" s="19">
        <v>1.9250061625313495</v>
      </c>
      <c r="Y269" s="19">
        <v>11.95673914505908</v>
      </c>
      <c r="Z269" s="19">
        <v>1.8019863641146174</v>
      </c>
      <c r="AA269" s="19">
        <v>4.0600473836699393</v>
      </c>
      <c r="AB269" s="19">
        <v>14.897987223316674</v>
      </c>
      <c r="AC269" s="19">
        <v>0.45722654554462783</v>
      </c>
      <c r="AD269" s="19">
        <v>2.1375035237499351</v>
      </c>
      <c r="AE269" s="19">
        <v>3.2949882676914464</v>
      </c>
      <c r="AF269" s="19">
        <v>3.8865501473243431</v>
      </c>
      <c r="AG269" s="19">
        <v>12.972082308562456</v>
      </c>
      <c r="AH269" s="19">
        <v>0.20651820166511536</v>
      </c>
      <c r="AI269" s="19">
        <v>9.7101176320434455</v>
      </c>
      <c r="AJ269" s="19">
        <v>13.744098009928038</v>
      </c>
      <c r="AK269" s="19">
        <v>7.2835514231743073</v>
      </c>
      <c r="AL269" s="19">
        <v>6.4582835636359732</v>
      </c>
      <c r="AM269" s="19">
        <v>3.3672312628439345</v>
      </c>
      <c r="AN269" s="19">
        <v>2.3521935377450318</v>
      </c>
      <c r="AO269" s="19">
        <v>3.1752052087837463</v>
      </c>
      <c r="AP269" s="19">
        <v>4.0170310805278406</v>
      </c>
      <c r="AQ269" s="81">
        <v>5.2456477736367511</v>
      </c>
    </row>
    <row r="270" spans="1:43">
      <c r="A270" s="54">
        <v>269</v>
      </c>
      <c r="B270" s="55" t="s">
        <v>580</v>
      </c>
      <c r="C270" s="56"/>
      <c r="D270" s="57" t="s">
        <v>581</v>
      </c>
      <c r="E270" s="58" t="s">
        <v>517</v>
      </c>
      <c r="F270" s="59">
        <v>2004</v>
      </c>
      <c r="G270" s="60">
        <v>42.616019999999999</v>
      </c>
      <c r="H270" s="60">
        <v>-82.579480000000004</v>
      </c>
      <c r="I270" s="61"/>
      <c r="J270" s="61"/>
      <c r="L270" s="62">
        <v>2.8087346300941798</v>
      </c>
      <c r="M270" s="17">
        <f t="shared" si="7"/>
        <v>1</v>
      </c>
      <c r="N270" s="1">
        <v>140</v>
      </c>
      <c r="O270" s="18" t="s">
        <v>581</v>
      </c>
      <c r="P270" s="19">
        <v>1.9293117730196319</v>
      </c>
      <c r="Q270" s="20">
        <v>2.8087346300941798</v>
      </c>
      <c r="R270" s="19">
        <v>0.63467215347742012</v>
      </c>
      <c r="S270" s="19">
        <v>0.15360541030855757</v>
      </c>
      <c r="T270" s="19">
        <v>0.30597365833965651</v>
      </c>
      <c r="U270" s="19">
        <v>1.2778594108613635</v>
      </c>
      <c r="V270" s="19">
        <v>2.5737561413608275E-2</v>
      </c>
      <c r="W270" s="19">
        <v>0.39119412245848201</v>
      </c>
      <c r="X270" s="19">
        <v>2.6423961368067697</v>
      </c>
      <c r="Y270" s="19">
        <v>12.44475608969503</v>
      </c>
      <c r="Z270" s="19">
        <v>1.8663145613770471</v>
      </c>
      <c r="AA270" s="19">
        <v>4.3497898702418718</v>
      </c>
      <c r="AB270" s="19">
        <v>15.15050097196953</v>
      </c>
      <c r="AC270" s="19">
        <v>0.61616946618673074</v>
      </c>
      <c r="AD270" s="19">
        <v>2.3439762600675356</v>
      </c>
      <c r="AE270" s="19">
        <v>3.5704629310260412</v>
      </c>
      <c r="AF270" s="19">
        <v>4.3154213159457777</v>
      </c>
      <c r="AG270" s="19">
        <v>13.255176137459721</v>
      </c>
      <c r="AH270" s="19">
        <v>0.11693692999294131</v>
      </c>
      <c r="AI270" s="19">
        <v>10.221587121264806</v>
      </c>
      <c r="AJ270" s="19">
        <v>14.195449108073895</v>
      </c>
      <c r="AK270" s="19">
        <v>7.5545888516776376</v>
      </c>
      <c r="AL270" s="19">
        <v>6.5464314888056654</v>
      </c>
      <c r="AM270" s="19">
        <v>3.7634115744700072</v>
      </c>
      <c r="AN270" s="19">
        <v>2.546215384779364</v>
      </c>
      <c r="AO270" s="19">
        <v>3.4583820041560132</v>
      </c>
      <c r="AP270" s="19">
        <v>4.2660368939953175</v>
      </c>
      <c r="AQ270" s="81">
        <v>5.7202784652333269</v>
      </c>
    </row>
    <row r="271" spans="1:43">
      <c r="A271" s="63">
        <v>270</v>
      </c>
      <c r="B271" s="55" t="s">
        <v>582</v>
      </c>
      <c r="C271" s="56"/>
      <c r="D271" s="57" t="s">
        <v>583</v>
      </c>
      <c r="E271" s="58" t="s">
        <v>517</v>
      </c>
      <c r="F271" s="59">
        <v>2004</v>
      </c>
      <c r="G271" s="60">
        <v>42.617429999999999</v>
      </c>
      <c r="H271" s="60">
        <v>-82.670330000000007</v>
      </c>
      <c r="I271" s="61"/>
      <c r="J271" s="61"/>
      <c r="L271" s="62">
        <v>3.4677288903267498</v>
      </c>
      <c r="M271" s="17">
        <f t="shared" si="7"/>
        <v>1</v>
      </c>
      <c r="N271" s="1">
        <v>162</v>
      </c>
      <c r="O271" s="18" t="s">
        <v>583</v>
      </c>
      <c r="P271" s="19">
        <v>2.1595416431963215</v>
      </c>
      <c r="Q271" s="20">
        <v>3.4677288903267494</v>
      </c>
      <c r="R271" s="19">
        <v>0.70357759011234899</v>
      </c>
      <c r="S271" s="19">
        <v>0.9372285906055563</v>
      </c>
      <c r="T271" s="19">
        <v>0.74669538183098072</v>
      </c>
      <c r="U271" s="19">
        <v>1.6926554363935935</v>
      </c>
      <c r="V271" s="19">
        <v>0.23330321450711933</v>
      </c>
      <c r="W271" s="19">
        <v>0.25915471518859823</v>
      </c>
      <c r="X271" s="19">
        <v>1.9896108499637641</v>
      </c>
      <c r="Y271" s="19">
        <v>12.683871868622603</v>
      </c>
      <c r="Z271" s="19">
        <v>2.0714194564898869</v>
      </c>
      <c r="AA271" s="19">
        <v>4.7004397181410917</v>
      </c>
      <c r="AB271" s="19">
        <v>15.286305065707545</v>
      </c>
      <c r="AC271" s="19">
        <v>0.69296275277291863</v>
      </c>
      <c r="AD271" s="19">
        <v>2.5709486051733275</v>
      </c>
      <c r="AE271" s="19">
        <v>3.6345932684457569</v>
      </c>
      <c r="AF271" s="19">
        <v>4.7718855785153655</v>
      </c>
      <c r="AG271" s="19">
        <v>13.615514694925979</v>
      </c>
      <c r="AH271" s="19">
        <v>0.1801478611584286</v>
      </c>
      <c r="AI271" s="19">
        <v>10.287712379549449</v>
      </c>
      <c r="AJ271" s="19">
        <v>14.49504303268751</v>
      </c>
      <c r="AK271" s="19">
        <v>7.7872496084679126</v>
      </c>
      <c r="AL271" s="19">
        <v>6.7224660244710917</v>
      </c>
      <c r="AM271" s="19">
        <v>3.9717734471933728</v>
      </c>
      <c r="AN271" s="19">
        <v>2.9998196518478943</v>
      </c>
      <c r="AO271" s="19">
        <v>3.7279204545631992</v>
      </c>
      <c r="AP271" s="19">
        <v>4.3096127724541233</v>
      </c>
      <c r="AQ271" s="81">
        <v>6.0349639897493033</v>
      </c>
    </row>
    <row r="272" spans="1:43">
      <c r="A272" s="54">
        <v>271</v>
      </c>
      <c r="B272" s="55" t="s">
        <v>584</v>
      </c>
      <c r="C272" s="56"/>
      <c r="D272" s="57" t="s">
        <v>585</v>
      </c>
      <c r="E272" s="58" t="s">
        <v>517</v>
      </c>
      <c r="F272" s="59">
        <v>2004</v>
      </c>
      <c r="G272" s="60">
        <v>42.623829999999998</v>
      </c>
      <c r="H272" s="60">
        <v>-82.676419999999993</v>
      </c>
      <c r="I272" s="61"/>
      <c r="J272" s="61"/>
      <c r="L272" s="62">
        <v>2.11245297960801</v>
      </c>
      <c r="M272" s="17">
        <f t="shared" si="7"/>
        <v>1</v>
      </c>
      <c r="N272" s="1">
        <v>108</v>
      </c>
      <c r="O272" s="18" t="s">
        <v>585</v>
      </c>
      <c r="P272" s="19">
        <v>1.6380520422895546</v>
      </c>
      <c r="Q272" s="20">
        <v>2.11245297960801</v>
      </c>
      <c r="R272" s="19">
        <v>0.15610871258174377</v>
      </c>
      <c r="S272" s="19">
        <v>0.25569804379998851</v>
      </c>
      <c r="T272" s="19">
        <v>0.22834238538159729</v>
      </c>
      <c r="U272" s="19">
        <v>0.8013892388092787</v>
      </c>
      <c r="V272" s="19">
        <v>0.25873037944240229</v>
      </c>
      <c r="W272" s="19">
        <v>0.2074198395797352</v>
      </c>
      <c r="X272" s="19">
        <v>1.6489820617889761</v>
      </c>
      <c r="Y272" s="19">
        <v>11.933321820732946</v>
      </c>
      <c r="Z272" s="19">
        <v>1.9392265777282087</v>
      </c>
      <c r="AA272" s="19">
        <v>4.2387868595871163</v>
      </c>
      <c r="AB272" s="19">
        <v>15.078943004791588</v>
      </c>
      <c r="AC272" s="19">
        <v>0.50903704235288716</v>
      </c>
      <c r="AD272" s="19">
        <v>2.1512093928848937</v>
      </c>
      <c r="AE272" s="19">
        <v>3.1363554687486106</v>
      </c>
      <c r="AF272" s="19">
        <v>4.2555007331483861</v>
      </c>
      <c r="AG272" s="19">
        <v>13.168828788061351</v>
      </c>
      <c r="AH272" s="19">
        <v>8.1121434009162247E-2</v>
      </c>
      <c r="AI272" s="19">
        <v>9.5105663894487495</v>
      </c>
      <c r="AJ272" s="19">
        <v>14.106644723559945</v>
      </c>
      <c r="AK272" s="19">
        <v>7.5781839680900944</v>
      </c>
      <c r="AL272" s="19">
        <v>6.2699682006333379</v>
      </c>
      <c r="AM272" s="19">
        <v>3.4473147002531763</v>
      </c>
      <c r="AN272" s="19">
        <v>2.4070807754505008</v>
      </c>
      <c r="AO272" s="19">
        <v>3.3519109611030768</v>
      </c>
      <c r="AP272" s="19">
        <v>3.9345165015860801</v>
      </c>
      <c r="AQ272" s="81">
        <v>5.4815572807085902</v>
      </c>
    </row>
    <row r="273" spans="1:43">
      <c r="A273" s="63">
        <v>272</v>
      </c>
      <c r="B273" s="55" t="s">
        <v>586</v>
      </c>
      <c r="C273" s="56"/>
      <c r="D273" s="64" t="s">
        <v>587</v>
      </c>
      <c r="E273" s="58" t="s">
        <v>517</v>
      </c>
      <c r="F273" s="65">
        <v>2004</v>
      </c>
      <c r="G273" s="66">
        <v>42.610950000000003</v>
      </c>
      <c r="H273" s="66">
        <v>-82.647769999999994</v>
      </c>
      <c r="I273" s="67"/>
      <c r="J273" s="67"/>
      <c r="L273" s="68">
        <v>1.43294988655813</v>
      </c>
      <c r="M273" s="17">
        <f t="shared" si="7"/>
        <v>1</v>
      </c>
      <c r="N273" s="1">
        <v>79</v>
      </c>
      <c r="O273" s="18" t="s">
        <v>587</v>
      </c>
      <c r="P273" s="19">
        <v>1.28270660422264</v>
      </c>
      <c r="Q273" s="20">
        <v>1.4329498865581298</v>
      </c>
      <c r="R273" s="19">
        <v>0.76335503345630751</v>
      </c>
      <c r="S273" s="19">
        <v>0.35889677403414361</v>
      </c>
      <c r="T273" s="19">
        <v>1.1751951656715067</v>
      </c>
      <c r="U273" s="19">
        <v>2.4808370687853438</v>
      </c>
      <c r="V273" s="19">
        <v>1.5172248816417633</v>
      </c>
      <c r="W273" s="19">
        <v>0.87084909825328283</v>
      </c>
      <c r="X273" s="19">
        <v>2.9462979988037308</v>
      </c>
      <c r="Y273" s="19">
        <v>11.530893981193922</v>
      </c>
      <c r="Z273" s="19">
        <v>2.4562804815107255</v>
      </c>
      <c r="AA273" s="19">
        <v>4.2562558732027318</v>
      </c>
      <c r="AB273" s="19">
        <v>14.585842783279976</v>
      </c>
      <c r="AC273" s="19">
        <v>0.37851162325372983</v>
      </c>
      <c r="AD273" s="19">
        <v>1.8964656161894258</v>
      </c>
      <c r="AE273" s="19">
        <v>2.8357220019743488</v>
      </c>
      <c r="AF273" s="19">
        <v>3.486714373030702</v>
      </c>
      <c r="AG273" s="19">
        <v>12.727920454563199</v>
      </c>
      <c r="AH273" s="19">
        <v>0.18307357621485196</v>
      </c>
      <c r="AI273" s="19">
        <v>9.5922701475675929</v>
      </c>
      <c r="AJ273" s="19">
        <v>12.905575039562665</v>
      </c>
      <c r="AK273" s="19">
        <v>7.0969786363705376</v>
      </c>
      <c r="AL273" s="19">
        <v>6.1448621429157342</v>
      </c>
      <c r="AM273" s="19">
        <v>3.2141248053528475</v>
      </c>
      <c r="AN273" s="19">
        <v>2.7095112144319735</v>
      </c>
      <c r="AO273" s="19">
        <v>4.7273759385948972</v>
      </c>
      <c r="AP273" s="19">
        <v>4.1358631653686793</v>
      </c>
      <c r="AQ273" s="81">
        <v>4.8654239783131343</v>
      </c>
    </row>
    <row r="274" spans="1:43">
      <c r="A274" s="54">
        <v>273</v>
      </c>
      <c r="B274" s="55" t="s">
        <v>588</v>
      </c>
      <c r="C274" s="56"/>
      <c r="D274" s="57" t="s">
        <v>589</v>
      </c>
      <c r="E274" s="58" t="s">
        <v>517</v>
      </c>
      <c r="F274" s="59">
        <v>2004</v>
      </c>
      <c r="G274" s="60">
        <v>42.603230000000003</v>
      </c>
      <c r="H274" s="60">
        <v>-82.600499999999997</v>
      </c>
      <c r="I274" s="61"/>
      <c r="J274" s="61"/>
      <c r="L274" s="62">
        <v>2.6045182038352999</v>
      </c>
      <c r="M274" s="17">
        <f t="shared" si="7"/>
        <v>1</v>
      </c>
      <c r="N274" s="1">
        <v>117</v>
      </c>
      <c r="O274" s="18" t="s">
        <v>589</v>
      </c>
      <c r="P274" s="19">
        <v>1.8498064352248893</v>
      </c>
      <c r="Q274" s="20">
        <v>2.6045182038352994</v>
      </c>
      <c r="R274" s="19">
        <v>0.82600324777634693</v>
      </c>
      <c r="S274" s="19">
        <v>0.35378835513460771</v>
      </c>
      <c r="T274" s="19">
        <v>0.22362787157323638</v>
      </c>
      <c r="U274" s="19">
        <v>0.71503521850610796</v>
      </c>
      <c r="V274" s="19">
        <v>4.1242982231881338E-2</v>
      </c>
      <c r="W274" s="19">
        <v>0.22481263158815287</v>
      </c>
      <c r="X274" s="19">
        <v>0.98314360685878921</v>
      </c>
      <c r="Y274" s="19">
        <v>11.957102041562287</v>
      </c>
      <c r="Z274" s="19">
        <v>1.8746002660495789</v>
      </c>
      <c r="AA274" s="19">
        <v>4.1391420191456891</v>
      </c>
      <c r="AB274" s="19">
        <v>15.05794942924992</v>
      </c>
      <c r="AC274" s="19">
        <v>0.47726284934917212</v>
      </c>
      <c r="AD274" s="19">
        <v>2.2060180040208954</v>
      </c>
      <c r="AE274" s="19">
        <v>3.1038333063034753</v>
      </c>
      <c r="AF274" s="19">
        <v>4.008988783227255</v>
      </c>
      <c r="AG274" s="19">
        <v>12.952923210362727</v>
      </c>
      <c r="AH274" s="19">
        <v>6.9660926544473131E-2</v>
      </c>
      <c r="AI274" s="19">
        <v>9.7780771295353581</v>
      </c>
      <c r="AJ274" s="19">
        <v>13.958643334132772</v>
      </c>
      <c r="AK274" s="19">
        <v>7.3593103168904426</v>
      </c>
      <c r="AL274" s="19">
        <v>6.6144153865081261</v>
      </c>
      <c r="AM274" s="19">
        <v>3.327974725005777</v>
      </c>
      <c r="AN274" s="19">
        <v>2.5791801481271501</v>
      </c>
      <c r="AO274" s="19">
        <v>3.2058616566849651</v>
      </c>
      <c r="AP274" s="19">
        <v>4.0992952043377748</v>
      </c>
      <c r="AQ274" s="81">
        <v>6.3041459412029459</v>
      </c>
    </row>
    <row r="275" spans="1:43">
      <c r="A275" s="63">
        <v>274</v>
      </c>
      <c r="B275" s="55" t="s">
        <v>590</v>
      </c>
      <c r="C275" s="56"/>
      <c r="D275" s="57" t="s">
        <v>591</v>
      </c>
      <c r="E275" s="58" t="s">
        <v>517</v>
      </c>
      <c r="F275" s="59">
        <v>2004</v>
      </c>
      <c r="G275" s="60">
        <v>42.594000000000001</v>
      </c>
      <c r="H275" s="60">
        <v>-82.634749999999997</v>
      </c>
      <c r="I275" s="61"/>
      <c r="J275" s="61"/>
      <c r="L275" s="62">
        <v>2.14788592339205</v>
      </c>
      <c r="M275" s="17">
        <f t="shared" si="7"/>
        <v>1</v>
      </c>
      <c r="N275" s="1">
        <v>94</v>
      </c>
      <c r="O275" s="18" t="s">
        <v>591</v>
      </c>
      <c r="P275" s="19">
        <v>1.6543832597975558</v>
      </c>
      <c r="Q275" s="20">
        <v>2.1478859233920495</v>
      </c>
      <c r="R275" s="19">
        <v>0.34101238592911065</v>
      </c>
      <c r="S275" s="19">
        <v>0.18480035681454129</v>
      </c>
      <c r="T275" s="19">
        <v>0.66510527333787051</v>
      </c>
      <c r="U275" s="19">
        <v>0.3514538262686957</v>
      </c>
      <c r="V275" s="19">
        <v>0.18188143668939938</v>
      </c>
      <c r="W275" s="19">
        <v>0.8793758586688597</v>
      </c>
      <c r="X275" s="19">
        <v>0.64617114120319219</v>
      </c>
      <c r="Y275" s="19">
        <v>11.82137539237254</v>
      </c>
      <c r="Z275" s="19">
        <v>1.5940707568515382</v>
      </c>
      <c r="AA275" s="19">
        <v>4.2935176304174245</v>
      </c>
      <c r="AB275" s="19">
        <v>14.264515906039016</v>
      </c>
      <c r="AC275" s="19">
        <v>0.27798474729976524</v>
      </c>
      <c r="AD275" s="19">
        <v>2.1576905135820534</v>
      </c>
      <c r="AE275" s="19">
        <v>2.9390384696321226</v>
      </c>
      <c r="AF275" s="19">
        <v>3.5873649909364609</v>
      </c>
      <c r="AG275" s="19">
        <v>12.59128857924609</v>
      </c>
      <c r="AH275" s="19">
        <v>4.3610479443847189E-2</v>
      </c>
      <c r="AI275" s="19">
        <v>9.5072000004811805</v>
      </c>
      <c r="AJ275" s="19">
        <v>13.536368649553852</v>
      </c>
      <c r="AK275" s="19">
        <v>6.6934869574993252</v>
      </c>
      <c r="AL275" s="19">
        <v>6.262658655072225</v>
      </c>
      <c r="AM275" s="19">
        <v>3.0558897581962827</v>
      </c>
      <c r="AN275" s="19">
        <v>1.7899378689801948</v>
      </c>
      <c r="AO275" s="19">
        <v>4.7032114673911458</v>
      </c>
      <c r="AP275" s="19">
        <v>3.7092906357233577</v>
      </c>
      <c r="AQ275" s="81">
        <v>4.8664134811234527</v>
      </c>
    </row>
    <row r="276" spans="1:43">
      <c r="A276" s="54">
        <v>275</v>
      </c>
      <c r="B276" s="55" t="s">
        <v>592</v>
      </c>
      <c r="C276" s="56"/>
      <c r="D276" s="57" t="s">
        <v>593</v>
      </c>
      <c r="E276" s="58" t="s">
        <v>517</v>
      </c>
      <c r="F276" s="59">
        <v>2004</v>
      </c>
      <c r="G276" s="60">
        <v>42.517749999999999</v>
      </c>
      <c r="H276" s="60">
        <v>-82.628200000000007</v>
      </c>
      <c r="I276" s="61"/>
      <c r="J276" s="61"/>
      <c r="L276" s="62">
        <v>0.54282623660144202</v>
      </c>
      <c r="M276" s="17">
        <f t="shared" si="7"/>
        <v>1</v>
      </c>
      <c r="N276" s="1">
        <v>58</v>
      </c>
      <c r="O276" s="18" t="s">
        <v>593</v>
      </c>
      <c r="P276" s="19">
        <v>0.62557558510377853</v>
      </c>
      <c r="Q276" s="20">
        <v>0.54282623660144202</v>
      </c>
      <c r="R276" s="19">
        <v>4.1242982231881338E-2</v>
      </c>
      <c r="S276" s="19">
        <v>2.7154051503726649E-2</v>
      </c>
      <c r="T276" s="19">
        <v>0.2567195577363961</v>
      </c>
      <c r="U276" s="19">
        <v>0.6256600663281211</v>
      </c>
      <c r="V276" s="19">
        <v>0.99735688005041656</v>
      </c>
      <c r="W276" s="19">
        <v>0.56058923082916645</v>
      </c>
      <c r="X276" s="19">
        <v>0.2372758423369469</v>
      </c>
      <c r="Y276" s="19">
        <v>10.965784284662087</v>
      </c>
      <c r="Z276" s="19">
        <v>1.8407653373238742</v>
      </c>
      <c r="AA276" s="19">
        <v>4.1562347978502707</v>
      </c>
      <c r="AB276" s="19">
        <v>13.67297773890013</v>
      </c>
      <c r="AC276" s="19">
        <v>8.5093907177549017E-4</v>
      </c>
      <c r="AD276" s="19">
        <v>1.8463930208523602</v>
      </c>
      <c r="AE276" s="19">
        <v>2.7008835560282689</v>
      </c>
      <c r="AF276" s="19">
        <v>2.7589427168723581</v>
      </c>
      <c r="AG276" s="19">
        <v>12.34485068394299</v>
      </c>
      <c r="AH276" s="19">
        <v>0.1016904118318005</v>
      </c>
      <c r="AI276" s="19">
        <v>7.6941837433331495</v>
      </c>
      <c r="AJ276" s="19">
        <v>12.883216040052192</v>
      </c>
      <c r="AK276" s="19">
        <v>6.3779913269058817</v>
      </c>
      <c r="AL276" s="19">
        <v>6.3682445263768441</v>
      </c>
      <c r="AM276" s="19">
        <v>2.5425057014782615</v>
      </c>
      <c r="AN276" s="19">
        <v>1.4446670668419077</v>
      </c>
      <c r="AO276" s="19">
        <v>4.4329594072761065</v>
      </c>
      <c r="AP276" s="19">
        <v>3.5360529002402097</v>
      </c>
      <c r="AQ276" s="81">
        <v>4.0789513413948217</v>
      </c>
    </row>
    <row r="277" spans="1:43">
      <c r="A277" s="63">
        <v>276</v>
      </c>
      <c r="B277" s="55" t="s">
        <v>594</v>
      </c>
      <c r="C277" s="56"/>
      <c r="D277" s="57" t="s">
        <v>595</v>
      </c>
      <c r="E277" s="58" t="s">
        <v>517</v>
      </c>
      <c r="F277" s="59">
        <v>2004</v>
      </c>
      <c r="G277" s="60">
        <v>42.488999999999997</v>
      </c>
      <c r="H277" s="60">
        <v>-82.625870000000006</v>
      </c>
      <c r="I277" s="61"/>
      <c r="J277" s="61"/>
      <c r="L277" s="62">
        <v>0.75889201765423298</v>
      </c>
      <c r="M277" s="17">
        <f t="shared" si="7"/>
        <v>1</v>
      </c>
      <c r="N277" s="1">
        <v>56</v>
      </c>
      <c r="O277" s="18" t="s">
        <v>595</v>
      </c>
      <c r="P277" s="19">
        <v>0.81466691522791945</v>
      </c>
      <c r="Q277" s="20">
        <v>0.75889201765423309</v>
      </c>
      <c r="R277" s="19">
        <v>0.5471761251187206</v>
      </c>
      <c r="S277" s="19">
        <v>0.64842291911384853</v>
      </c>
      <c r="T277" s="19">
        <v>0.19929221406032904</v>
      </c>
      <c r="U277" s="19">
        <v>3.7352560325894228</v>
      </c>
      <c r="V277" s="19">
        <v>0.2085505227992463</v>
      </c>
      <c r="W277" s="19">
        <v>0.22017555302734518</v>
      </c>
      <c r="X277" s="19">
        <v>0.33745564165092129</v>
      </c>
      <c r="Y277" s="19">
        <v>10.708221730038353</v>
      </c>
      <c r="Z277" s="19">
        <v>1.2497487150835689</v>
      </c>
      <c r="AA277" s="19">
        <v>3.9864109352520449</v>
      </c>
      <c r="AB277" s="19">
        <v>13.982904472693795</v>
      </c>
      <c r="AC277" s="19">
        <v>5.481199793362575E-4</v>
      </c>
      <c r="AD277" s="19">
        <v>1.5200450240398178</v>
      </c>
      <c r="AE277" s="19">
        <v>2.3391373849195856</v>
      </c>
      <c r="AF277" s="19">
        <v>2.6854916886845515</v>
      </c>
      <c r="AG277" s="19">
        <v>12.086136225027309</v>
      </c>
      <c r="AH277" s="19">
        <v>0.14821827215414504</v>
      </c>
      <c r="AI277" s="19">
        <v>7.962317654942308</v>
      </c>
      <c r="AJ277" s="19">
        <v>12.885505729792254</v>
      </c>
      <c r="AK277" s="19">
        <v>6.3228294976288941</v>
      </c>
      <c r="AL277" s="19">
        <v>5.8674023057275431</v>
      </c>
      <c r="AM277" s="19">
        <v>2.2138138461877488</v>
      </c>
      <c r="AN277" s="19">
        <v>1.1446990251541391</v>
      </c>
      <c r="AO277" s="19">
        <v>4.2861418728343015</v>
      </c>
      <c r="AP277" s="19">
        <v>3.275752048828529</v>
      </c>
      <c r="AQ277" s="81">
        <v>3.5172756932095819</v>
      </c>
    </row>
    <row r="278" spans="1:43">
      <c r="A278" s="54">
        <v>277</v>
      </c>
      <c r="B278" s="55" t="s">
        <v>596</v>
      </c>
      <c r="C278" s="56"/>
      <c r="D278" s="57" t="s">
        <v>597</v>
      </c>
      <c r="E278" s="58" t="s">
        <v>517</v>
      </c>
      <c r="F278" s="59">
        <v>2004</v>
      </c>
      <c r="G278" s="60">
        <v>42.45</v>
      </c>
      <c r="H278" s="60">
        <v>-82.566670000000002</v>
      </c>
      <c r="I278" s="61"/>
      <c r="J278" s="61"/>
      <c r="L278" s="62">
        <v>0.51120132310931898</v>
      </c>
      <c r="M278" s="17">
        <f t="shared" si="7"/>
        <v>1</v>
      </c>
      <c r="N278" s="1">
        <v>55</v>
      </c>
      <c r="O278" s="18" t="s">
        <v>597</v>
      </c>
      <c r="P278" s="19">
        <v>0.59569586996915957</v>
      </c>
      <c r="Q278" s="20">
        <v>0.51120132310931909</v>
      </c>
      <c r="R278" s="19">
        <v>7.1955014042037659E-3</v>
      </c>
      <c r="S278" s="19">
        <v>3.2806145083241478E-2</v>
      </c>
      <c r="T278" s="19">
        <v>0.46062240043140829</v>
      </c>
      <c r="U278" s="19">
        <v>0.47693987535866711</v>
      </c>
      <c r="V278" s="19">
        <v>0.17097135526939833</v>
      </c>
      <c r="W278" s="19">
        <v>0.44220081962097163</v>
      </c>
      <c r="X278" s="19">
        <v>0.32566789239876864</v>
      </c>
      <c r="Y278" s="19">
        <v>10.501837184902296</v>
      </c>
      <c r="Z278" s="19">
        <v>1.4620523187964329</v>
      </c>
      <c r="AA278" s="19">
        <v>3.7081872360207084</v>
      </c>
      <c r="AB278" s="19">
        <v>13.587660333609477</v>
      </c>
      <c r="AC278" s="19">
        <v>0.10550376406001774</v>
      </c>
      <c r="AD278" s="19">
        <v>1.5489297694763999</v>
      </c>
      <c r="AE278" s="19">
        <v>2.0840642647884744</v>
      </c>
      <c r="AF278" s="19">
        <v>2.2621324395394016</v>
      </c>
      <c r="AG278" s="19">
        <v>11.713816080234498</v>
      </c>
      <c r="AH278" s="19">
        <v>9.5586907997723985E-2</v>
      </c>
      <c r="AI278" s="19">
        <v>7.6051090738329323</v>
      </c>
      <c r="AJ278" s="19">
        <v>12.92425580090125</v>
      </c>
      <c r="AK278" s="19">
        <v>6.3769501709495398</v>
      </c>
      <c r="AL278" s="19">
        <v>5.9963887464476215</v>
      </c>
      <c r="AM278" s="19">
        <v>2.1823744882758063</v>
      </c>
      <c r="AN278" s="19">
        <v>1.5079214649573285</v>
      </c>
      <c r="AO278" s="19">
        <v>3.9011082430145123</v>
      </c>
      <c r="AP278" s="19">
        <v>2.8015725694635982</v>
      </c>
      <c r="AQ278" s="81">
        <v>3.5496691707264905</v>
      </c>
    </row>
    <row r="279" spans="1:43">
      <c r="A279" s="63">
        <v>278</v>
      </c>
      <c r="B279" s="55" t="s">
        <v>598</v>
      </c>
      <c r="C279" s="56"/>
      <c r="D279" s="57" t="s">
        <v>599</v>
      </c>
      <c r="E279" s="58" t="s">
        <v>517</v>
      </c>
      <c r="F279" s="59">
        <v>2004</v>
      </c>
      <c r="G279" s="60">
        <v>42.45</v>
      </c>
      <c r="H279" s="60">
        <v>-82.583330000000004</v>
      </c>
      <c r="I279" s="61"/>
      <c r="J279" s="61"/>
      <c r="L279" s="62">
        <v>0.60156029702039904</v>
      </c>
      <c r="M279" s="17">
        <f t="shared" si="7"/>
        <v>1</v>
      </c>
      <c r="N279" s="1">
        <v>46</v>
      </c>
      <c r="O279" s="18" t="s">
        <v>599</v>
      </c>
      <c r="P279" s="19">
        <v>0.67947811504968403</v>
      </c>
      <c r="Q279" s="20">
        <v>0.60156029702039904</v>
      </c>
      <c r="R279" s="19">
        <v>0.22592680108575316</v>
      </c>
      <c r="S279" s="19">
        <v>2.8569152196770919E-2</v>
      </c>
      <c r="T279" s="19">
        <v>0.25980093257358128</v>
      </c>
      <c r="U279" s="19">
        <v>0.43719395485284923</v>
      </c>
      <c r="V279" s="19">
        <v>0.15868374746613428</v>
      </c>
      <c r="W279" s="19">
        <v>2.882508533121365E-3</v>
      </c>
      <c r="X279" s="19">
        <v>0.21369946982432717</v>
      </c>
      <c r="Y279" s="19">
        <v>10.527477006060396</v>
      </c>
      <c r="Z279" s="19">
        <v>1.6359865037456232</v>
      </c>
      <c r="AA279" s="19">
        <v>3.992768430768924</v>
      </c>
      <c r="AB279" s="19">
        <v>13.120723878707812</v>
      </c>
      <c r="AC279" s="19">
        <v>4.6158856285281213E-4</v>
      </c>
      <c r="AD279" s="19">
        <v>1.722903138560449</v>
      </c>
      <c r="AE279" s="19">
        <v>2.0003606286835147</v>
      </c>
      <c r="AF279" s="19">
        <v>2.6052572629390038</v>
      </c>
      <c r="AG279" s="19">
        <v>12.077817120895904</v>
      </c>
      <c r="AH279" s="19">
        <v>0.15833702716710066</v>
      </c>
      <c r="AI279" s="19">
        <v>7.9342805936400245</v>
      </c>
      <c r="AJ279" s="19">
        <v>11.917745013443216</v>
      </c>
      <c r="AK279" s="19">
        <v>6.354910511586791</v>
      </c>
      <c r="AL279" s="19">
        <v>5.9502351004856875</v>
      </c>
      <c r="AM279" s="19">
        <v>1.9785617494757466</v>
      </c>
      <c r="AN279" s="19">
        <v>1.2933704842047526</v>
      </c>
      <c r="AO279" s="19">
        <v>4.2203299548795554</v>
      </c>
      <c r="AP279" s="19">
        <v>2.99294966248085</v>
      </c>
      <c r="AQ279" s="81">
        <v>3.7634115744700072</v>
      </c>
    </row>
    <row r="280" spans="1:43">
      <c r="A280" s="54">
        <v>279</v>
      </c>
      <c r="B280" s="55" t="s">
        <v>600</v>
      </c>
      <c r="C280" s="56"/>
      <c r="D280" s="57" t="s">
        <v>601</v>
      </c>
      <c r="E280" s="58" t="s">
        <v>517</v>
      </c>
      <c r="F280" s="59">
        <v>2004</v>
      </c>
      <c r="G280" s="60">
        <v>42.435600000000001</v>
      </c>
      <c r="H280" s="60">
        <v>-82.543300000000002</v>
      </c>
      <c r="I280" s="61"/>
      <c r="J280" s="61"/>
      <c r="L280" s="62">
        <v>1.7758835020422601</v>
      </c>
      <c r="M280" s="17">
        <f t="shared" si="7"/>
        <v>1</v>
      </c>
      <c r="N280" s="1">
        <v>96</v>
      </c>
      <c r="O280" s="18" t="s">
        <v>601</v>
      </c>
      <c r="P280" s="19">
        <v>1.4729470223280441</v>
      </c>
      <c r="Q280" s="20">
        <v>1.7758835020422601</v>
      </c>
      <c r="R280" s="19">
        <v>0.55349975650094962</v>
      </c>
      <c r="S280" s="19">
        <v>0.87420489214553843</v>
      </c>
      <c r="T280" s="19">
        <v>0.17589138604409196</v>
      </c>
      <c r="U280" s="19">
        <v>1.7307225199488563</v>
      </c>
      <c r="V280" s="19">
        <v>0.23064998921032934</v>
      </c>
      <c r="W280" s="19">
        <v>0.18036244313900218</v>
      </c>
      <c r="X280" s="19">
        <v>1.5380986531690151E-2</v>
      </c>
      <c r="Y280" s="19">
        <v>12.029632328044137</v>
      </c>
      <c r="Z280" s="19">
        <v>1.8832297890327316</v>
      </c>
      <c r="AA280" s="19">
        <v>4.4019034716079579</v>
      </c>
      <c r="AB280" s="19">
        <v>14.481231826344098</v>
      </c>
      <c r="AC280" s="19">
        <v>0.10879875184509433</v>
      </c>
      <c r="AD280" s="19">
        <v>2.4198085289392752</v>
      </c>
      <c r="AE280" s="19">
        <v>3.0815100681209171</v>
      </c>
      <c r="AF280" s="19">
        <v>3.8806855252611245</v>
      </c>
      <c r="AG280" s="19">
        <v>13.394864578184359</v>
      </c>
      <c r="AH280" s="19">
        <v>0.28983446517750894</v>
      </c>
      <c r="AI280" s="19">
        <v>9.7888814320112907</v>
      </c>
      <c r="AJ280" s="19">
        <v>13.420091804602315</v>
      </c>
      <c r="AK280" s="19">
        <v>7.4437723927637389</v>
      </c>
      <c r="AL280" s="19">
        <v>6.4087118610294294</v>
      </c>
      <c r="AM280" s="19">
        <v>3.0248515483409353</v>
      </c>
      <c r="AN280" s="19">
        <v>1.9942176474059938</v>
      </c>
      <c r="AO280" s="19">
        <v>3.5372960670908418</v>
      </c>
      <c r="AP280" s="19">
        <v>4.3197624276692475</v>
      </c>
      <c r="AQ280" s="81">
        <v>4.9331004749313676</v>
      </c>
    </row>
    <row r="281" spans="1:43">
      <c r="A281" s="63">
        <v>280</v>
      </c>
      <c r="B281" s="55" t="s">
        <v>602</v>
      </c>
      <c r="C281" s="56"/>
      <c r="D281" s="57" t="s">
        <v>603</v>
      </c>
      <c r="E281" s="58" t="s">
        <v>517</v>
      </c>
      <c r="F281" s="59">
        <v>2004</v>
      </c>
      <c r="G281" s="60">
        <v>42.411349999999999</v>
      </c>
      <c r="H281" s="60">
        <v>-82.460419999999999</v>
      </c>
      <c r="I281" s="61"/>
      <c r="J281" s="61"/>
      <c r="L281" s="62">
        <v>2.2119115235390701</v>
      </c>
      <c r="M281" s="17">
        <f t="shared" si="7"/>
        <v>1</v>
      </c>
      <c r="N281" s="1">
        <v>151</v>
      </c>
      <c r="O281" s="18" t="s">
        <v>603</v>
      </c>
      <c r="P281" s="19">
        <v>1.6834321524101856</v>
      </c>
      <c r="Q281" s="20">
        <v>2.2119115235390701</v>
      </c>
      <c r="R281" s="19">
        <v>0.51968058032438214</v>
      </c>
      <c r="S281" s="19">
        <v>1.4355292977070054E-2</v>
      </c>
      <c r="T281" s="19">
        <v>0.70636198758802782</v>
      </c>
      <c r="U281" s="19">
        <v>0.40481144420615883</v>
      </c>
      <c r="V281" s="19">
        <v>0.2777880925597227</v>
      </c>
      <c r="W281" s="19">
        <v>0.30035719925347482</v>
      </c>
      <c r="X281" s="19">
        <v>0.38760354738646796</v>
      </c>
      <c r="Y281" s="19">
        <v>12.684967725143876</v>
      </c>
      <c r="Z281" s="19">
        <v>1.4895429356424736</v>
      </c>
      <c r="AA281" s="19">
        <v>1.7311301833315159E-4</v>
      </c>
      <c r="AB281" s="19">
        <v>15.254179762837913</v>
      </c>
      <c r="AC281" s="19">
        <v>2.0196316863254252E-4</v>
      </c>
      <c r="AD281" s="19">
        <v>2.5651096965318345</v>
      </c>
      <c r="AE281" s="19">
        <v>3.4776773275653072</v>
      </c>
      <c r="AF281" s="19">
        <v>4.3462477740827756</v>
      </c>
      <c r="AG281" s="19">
        <v>13.843626673792848</v>
      </c>
      <c r="AH281" s="19">
        <v>0.13351091967568801</v>
      </c>
      <c r="AI281" s="19">
        <v>10.537218400538595</v>
      </c>
      <c r="AJ281" s="19">
        <v>13.306488964728633</v>
      </c>
      <c r="AK281" s="19">
        <v>7.7701683201034291</v>
      </c>
      <c r="AL281" s="19">
        <v>7.513332823740126</v>
      </c>
      <c r="AM281" s="19">
        <v>3.4815572807085902</v>
      </c>
      <c r="AN281" s="19">
        <v>1.9444836711487516</v>
      </c>
      <c r="AO281" s="19">
        <v>6.779073734612199E-4</v>
      </c>
      <c r="AP281" s="19">
        <v>4.8333961341632277</v>
      </c>
      <c r="AQ281" s="81">
        <v>4.8865501473243427</v>
      </c>
    </row>
    <row r="282" spans="1:43">
      <c r="A282" s="54">
        <v>281</v>
      </c>
      <c r="B282" s="55" t="s">
        <v>604</v>
      </c>
      <c r="C282" s="56"/>
      <c r="D282" s="57" t="s">
        <v>605</v>
      </c>
      <c r="E282" s="58" t="s">
        <v>517</v>
      </c>
      <c r="F282" s="59">
        <v>2004</v>
      </c>
      <c r="G282" s="60">
        <v>42.494320000000002</v>
      </c>
      <c r="H282" s="60">
        <v>-82.673720000000003</v>
      </c>
      <c r="I282" s="61"/>
      <c r="J282" s="61"/>
      <c r="L282" s="62">
        <v>2.1163402513884799</v>
      </c>
      <c r="M282" s="17">
        <f t="shared" si="7"/>
        <v>1</v>
      </c>
      <c r="N282" s="1">
        <v>86</v>
      </c>
      <c r="O282" s="18" t="s">
        <v>605</v>
      </c>
      <c r="P282" s="19">
        <v>1.6398527597769952</v>
      </c>
      <c r="Q282" s="20">
        <v>2.1163402513884795</v>
      </c>
      <c r="R282" s="19">
        <v>1.3584704710235984</v>
      </c>
      <c r="S282" s="19">
        <v>0.35498238354656531</v>
      </c>
      <c r="T282" s="19">
        <v>1.2620875003430321</v>
      </c>
      <c r="U282" s="19">
        <v>2.8728792478077212</v>
      </c>
      <c r="V282" s="19">
        <v>3.4215715337912983E-2</v>
      </c>
      <c r="W282" s="19">
        <v>0.73678510889707782</v>
      </c>
      <c r="X282" s="19">
        <v>1.8852712983786548</v>
      </c>
      <c r="Y282" s="19">
        <v>11.507299124122765</v>
      </c>
      <c r="Z282" s="19">
        <v>1.1647862781433398</v>
      </c>
      <c r="AA282" s="19">
        <v>4.4587756990802436</v>
      </c>
      <c r="AB282" s="19">
        <v>14.882308699667874</v>
      </c>
      <c r="AC282" s="19">
        <v>0.32342771806093251</v>
      </c>
      <c r="AD282" s="19">
        <v>2.0050406167005299</v>
      </c>
      <c r="AE282" s="19">
        <v>3.0257375614136084</v>
      </c>
      <c r="AF282" s="19">
        <v>3.4724877714627436</v>
      </c>
      <c r="AG282" s="19">
        <v>12.678380065109117</v>
      </c>
      <c r="AH282" s="19">
        <v>0.99537597347455253</v>
      </c>
      <c r="AI282" s="19">
        <v>9.1601235341465497</v>
      </c>
      <c r="AJ282" s="19">
        <v>14.121290673455453</v>
      </c>
      <c r="AK282" s="19">
        <v>6.971543553950772</v>
      </c>
      <c r="AL282" s="19">
        <v>6.4820415419856028</v>
      </c>
      <c r="AM282" s="19">
        <v>3.0278617753545092</v>
      </c>
      <c r="AN282" s="19">
        <v>2.2717244635105684</v>
      </c>
      <c r="AO282" s="19">
        <v>4.7724135547484821</v>
      </c>
      <c r="AP282" s="19">
        <v>3.7070829917717063</v>
      </c>
      <c r="AQ282" s="81">
        <v>5.0076440308780139</v>
      </c>
    </row>
    <row r="283" spans="1:43">
      <c r="A283" s="63">
        <v>282</v>
      </c>
      <c r="B283" s="55" t="s">
        <v>606</v>
      </c>
      <c r="C283" s="56"/>
      <c r="D283" s="57" t="s">
        <v>607</v>
      </c>
      <c r="E283" s="58" t="s">
        <v>517</v>
      </c>
      <c r="F283" s="59">
        <v>2004</v>
      </c>
      <c r="G283" s="60">
        <v>42.450670000000002</v>
      </c>
      <c r="H283" s="60">
        <v>-82.658919999999995</v>
      </c>
      <c r="I283" s="61"/>
      <c r="J283" s="61"/>
      <c r="L283" s="62">
        <v>1.7683637776914201</v>
      </c>
      <c r="M283" s="17">
        <f t="shared" si="7"/>
        <v>1</v>
      </c>
      <c r="N283" s="1">
        <v>49</v>
      </c>
      <c r="O283" s="18" t="s">
        <v>607</v>
      </c>
      <c r="P283" s="19">
        <v>1.4690335332158959</v>
      </c>
      <c r="Q283" s="20">
        <v>1.7683637776914201</v>
      </c>
      <c r="R283" s="19">
        <v>0.66483165024461655</v>
      </c>
      <c r="S283" s="19">
        <v>0.44593278794584718</v>
      </c>
      <c r="T283" s="19">
        <v>0.668113392698094</v>
      </c>
      <c r="U283" s="19">
        <v>1.8413080327198328</v>
      </c>
      <c r="V283" s="19">
        <v>1.3460476946377988</v>
      </c>
      <c r="W283" s="19">
        <v>0.35861947255957338</v>
      </c>
      <c r="X283" s="19">
        <v>1.2544349156265826</v>
      </c>
      <c r="Y283" s="19">
        <v>11.763627351727628</v>
      </c>
      <c r="Z283" s="19">
        <v>1.3762903833370514</v>
      </c>
      <c r="AA283" s="19">
        <v>4.2645364309990255</v>
      </c>
      <c r="AB283" s="19">
        <v>14.898459680434105</v>
      </c>
      <c r="AC283" s="19">
        <v>0.23829772751228739</v>
      </c>
      <c r="AD283" s="19">
        <v>2.1560729609505671</v>
      </c>
      <c r="AE283" s="19">
        <v>3.1694440229278094</v>
      </c>
      <c r="AF283" s="19">
        <v>3.2888014916473436</v>
      </c>
      <c r="AG283" s="19">
        <v>12.668663423175296</v>
      </c>
      <c r="AH283" s="19">
        <v>0.32054244242845936</v>
      </c>
      <c r="AI283" s="19">
        <v>9.4884427052963662</v>
      </c>
      <c r="AJ283" s="19">
        <v>13.862153020413583</v>
      </c>
      <c r="AK283" s="19">
        <v>7.146695948030656</v>
      </c>
      <c r="AL283" s="19">
        <v>7.0650121504369485</v>
      </c>
      <c r="AM283" s="19">
        <v>3.0511980628715607</v>
      </c>
      <c r="AN283" s="19">
        <v>2.1093605594042302</v>
      </c>
      <c r="AO283" s="19">
        <v>4.6496154590634093</v>
      </c>
      <c r="AP283" s="19">
        <v>3.5323169593327655</v>
      </c>
      <c r="AQ283" s="81">
        <v>4.7580899342018128</v>
      </c>
    </row>
    <row r="284" spans="1:43">
      <c r="A284" s="54">
        <v>283</v>
      </c>
      <c r="B284" s="55" t="s">
        <v>608</v>
      </c>
      <c r="C284" s="56"/>
      <c r="D284" s="69" t="s">
        <v>609</v>
      </c>
      <c r="E284" s="58" t="s">
        <v>517</v>
      </c>
      <c r="F284" s="59">
        <v>2004</v>
      </c>
      <c r="G284" s="60">
        <v>42.422379999999997</v>
      </c>
      <c r="H284" s="60">
        <v>-82.592230000000001</v>
      </c>
      <c r="I284" s="61"/>
      <c r="J284" s="61"/>
      <c r="L284" s="70">
        <v>1.6236219557088276</v>
      </c>
      <c r="M284" s="17">
        <f t="shared" si="7"/>
        <v>1</v>
      </c>
      <c r="N284" s="1">
        <v>40</v>
      </c>
      <c r="O284" s="18" t="s">
        <v>609</v>
      </c>
      <c r="P284" s="19">
        <v>1.3915598533719868</v>
      </c>
      <c r="Q284" s="20">
        <v>1.6236219557088276</v>
      </c>
      <c r="R284" s="19">
        <v>0.24064101534269772</v>
      </c>
      <c r="S284" s="19">
        <v>0.19496114535302059</v>
      </c>
      <c r="T284" s="19">
        <v>0.51970511025908606</v>
      </c>
      <c r="U284" s="19">
        <v>1.3725426929880926</v>
      </c>
      <c r="V284" s="19">
        <v>0.55960230881748718</v>
      </c>
      <c r="W284" s="19">
        <v>0.43735696535030666</v>
      </c>
      <c r="X284" s="19">
        <v>1.3291340707223955</v>
      </c>
      <c r="Y284" s="19">
        <v>11.670213636738564</v>
      </c>
      <c r="Z284" s="19">
        <v>1.0962618530584034</v>
      </c>
      <c r="AA284" s="19">
        <v>4.3957483281790335</v>
      </c>
      <c r="AB284" s="19">
        <v>15.512400979729406</v>
      </c>
      <c r="AC284" s="19">
        <v>0.31776713851221972</v>
      </c>
      <c r="AD284" s="19">
        <v>2.0558897581962827</v>
      </c>
      <c r="AE284" s="19">
        <v>3.2289725697601606</v>
      </c>
      <c r="AF284" s="19">
        <v>3.1834865144593913</v>
      </c>
      <c r="AG284" s="19">
        <v>12.635491406251711</v>
      </c>
      <c r="AH284" s="19">
        <v>0.39922579212093789</v>
      </c>
      <c r="AI284" s="19">
        <v>9.4252159032993834</v>
      </c>
      <c r="AJ284" s="19">
        <v>14.748769393000515</v>
      </c>
      <c r="AK284" s="19">
        <v>7.4561490346479955</v>
      </c>
      <c r="AL284" s="19">
        <v>7.1405741777099019</v>
      </c>
      <c r="AM284" s="19">
        <v>2.9785617494757464</v>
      </c>
      <c r="AN284" s="19">
        <v>1.7870144737734286</v>
      </c>
      <c r="AO284" s="19">
        <v>4.6853795519590751</v>
      </c>
      <c r="AP284" s="19">
        <v>3.6099912952126787</v>
      </c>
      <c r="AQ284" s="81">
        <v>4.5909612413425993</v>
      </c>
    </row>
    <row r="285" spans="1:43">
      <c r="A285" s="63">
        <v>284</v>
      </c>
      <c r="B285" s="55" t="s">
        <v>610</v>
      </c>
      <c r="C285" s="56"/>
      <c r="D285" s="57" t="s">
        <v>611</v>
      </c>
      <c r="E285" s="58" t="s">
        <v>517</v>
      </c>
      <c r="F285" s="59">
        <v>2004</v>
      </c>
      <c r="G285" s="60">
        <v>42.389620000000001</v>
      </c>
      <c r="H285" s="60">
        <v>-82.49718</v>
      </c>
      <c r="I285" s="61"/>
      <c r="J285" s="61"/>
      <c r="L285" s="62">
        <v>1.61639401797727</v>
      </c>
      <c r="M285" s="17">
        <f t="shared" si="7"/>
        <v>1</v>
      </c>
      <c r="N285" s="1">
        <v>41</v>
      </c>
      <c r="O285" s="18" t="s">
        <v>611</v>
      </c>
      <c r="P285" s="19">
        <v>1.3875798210258856</v>
      </c>
      <c r="Q285" s="20">
        <v>1.61639401797727</v>
      </c>
      <c r="R285" s="19">
        <v>0.39167298433731829</v>
      </c>
      <c r="S285" s="19">
        <v>1.5782997240927459E-2</v>
      </c>
      <c r="T285" s="19">
        <v>0.25777508571562285</v>
      </c>
      <c r="U285" s="19">
        <v>1.1260734921489146</v>
      </c>
      <c r="V285" s="19">
        <v>0.42929299446020952</v>
      </c>
      <c r="W285" s="19">
        <v>0.19065142831554283</v>
      </c>
      <c r="X285" s="19">
        <v>1.0694755209907123</v>
      </c>
      <c r="Y285" s="19">
        <v>11.931476233886791</v>
      </c>
      <c r="Z285" s="19">
        <v>1.2539892662307868</v>
      </c>
      <c r="AA285" s="19">
        <v>4.4587756990802436</v>
      </c>
      <c r="AB285" s="19">
        <v>15.420651084369769</v>
      </c>
      <c r="AC285" s="19">
        <v>0.33811059626622364</v>
      </c>
      <c r="AD285" s="19">
        <v>2.1956625628559205</v>
      </c>
      <c r="AE285" s="19">
        <v>3.3348542693316325</v>
      </c>
      <c r="AF285" s="19">
        <v>3.4277402460165938</v>
      </c>
      <c r="AG285" s="19">
        <v>12.761551232444479</v>
      </c>
      <c r="AH285" s="19">
        <v>0.54567189445804121</v>
      </c>
      <c r="AI285" s="19">
        <v>9.7094285013683468</v>
      </c>
      <c r="AJ285" s="19">
        <v>14.676232582542619</v>
      </c>
      <c r="AK285" s="19">
        <v>7.447083226209652</v>
      </c>
      <c r="AL285" s="19">
        <v>7.1699250014423122</v>
      </c>
      <c r="AM285" s="19">
        <v>3.0949116470254672</v>
      </c>
      <c r="AN285" s="19">
        <v>2.0122110839508744</v>
      </c>
      <c r="AO285" s="19">
        <v>4.8001233528265281</v>
      </c>
      <c r="AP285" s="19">
        <v>3.8094144442358986</v>
      </c>
      <c r="AQ285" s="81">
        <v>4.952799477899938</v>
      </c>
    </row>
    <row r="286" spans="1:43">
      <c r="A286" s="54">
        <v>285</v>
      </c>
      <c r="B286" s="55" t="s">
        <v>612</v>
      </c>
      <c r="C286" s="56"/>
      <c r="D286" s="57" t="s">
        <v>613</v>
      </c>
      <c r="E286" s="58" t="s">
        <v>517</v>
      </c>
      <c r="F286" s="59">
        <v>2004</v>
      </c>
      <c r="G286" s="60">
        <v>42.372579999999999</v>
      </c>
      <c r="H286" s="60">
        <v>-82.544030000000006</v>
      </c>
      <c r="I286" s="61"/>
      <c r="J286" s="61"/>
      <c r="L286" s="62">
        <v>2.04883995632717</v>
      </c>
      <c r="M286" s="17">
        <f t="shared" si="7"/>
        <v>1</v>
      </c>
      <c r="N286" s="1">
        <v>125</v>
      </c>
      <c r="O286" s="18" t="s">
        <v>613</v>
      </c>
      <c r="P286" s="19">
        <v>1.6082604205105964</v>
      </c>
      <c r="Q286" s="20">
        <v>2.04883995632717</v>
      </c>
      <c r="R286" s="19">
        <v>0.63612949134252128</v>
      </c>
      <c r="S286" s="19">
        <v>0.65385910876076392</v>
      </c>
      <c r="T286" s="19">
        <v>0.76150706145775404</v>
      </c>
      <c r="U286" s="19">
        <v>1.2009867186084251</v>
      </c>
      <c r="V286" s="19">
        <v>2.1479727410451392E-2</v>
      </c>
      <c r="W286" s="19">
        <v>0.53976780006723069</v>
      </c>
      <c r="X286" s="19">
        <v>2.2413665176940838</v>
      </c>
      <c r="Y286" s="19">
        <v>13.193525360501216</v>
      </c>
      <c r="Z286" s="19">
        <v>1.4313555215735165</v>
      </c>
      <c r="AA286" s="19">
        <v>4.8534967037023247</v>
      </c>
      <c r="AB286" s="19">
        <v>15.687457702124849</v>
      </c>
      <c r="AC286" s="19">
        <v>0.35309741124371125</v>
      </c>
      <c r="AD286" s="19">
        <v>2.6660748426206928</v>
      </c>
      <c r="AE286" s="19">
        <v>3.7665951617292701</v>
      </c>
      <c r="AF286" s="19">
        <v>4.5903624884637457</v>
      </c>
      <c r="AG286" s="19">
        <v>13.698162035011253</v>
      </c>
      <c r="AH286" s="19">
        <v>0.57521550226759521</v>
      </c>
      <c r="AI286" s="19">
        <v>11.030667136246942</v>
      </c>
      <c r="AJ286" s="19">
        <v>14.571100818981757</v>
      </c>
      <c r="AK286" s="19">
        <v>8.3420746679991389</v>
      </c>
      <c r="AL286" s="19">
        <v>7.7080492517022172</v>
      </c>
      <c r="AM286" s="19">
        <v>4.0382605751753493</v>
      </c>
      <c r="AN286" s="19">
        <v>3.2995377395727821</v>
      </c>
      <c r="AO286" s="19">
        <v>3.9136075118230993</v>
      </c>
      <c r="AP286" s="19">
        <v>4.6746866199279991</v>
      </c>
      <c r="AQ286" s="81">
        <v>5.5828570348442383</v>
      </c>
    </row>
    <row r="287" spans="1:43">
      <c r="A287" s="63">
        <v>286</v>
      </c>
      <c r="B287" s="55" t="s">
        <v>614</v>
      </c>
      <c r="C287" s="56"/>
      <c r="D287" s="57" t="s">
        <v>615</v>
      </c>
      <c r="E287" s="58" t="s">
        <v>517</v>
      </c>
      <c r="F287" s="59">
        <v>2004</v>
      </c>
      <c r="G287" s="60">
        <v>42.350549999999998</v>
      </c>
      <c r="H287" s="60">
        <v>-82.620069999999998</v>
      </c>
      <c r="I287" s="61"/>
      <c r="J287" s="61"/>
      <c r="L287" s="62">
        <v>2.46163846930222</v>
      </c>
      <c r="M287" s="17">
        <f t="shared" si="7"/>
        <v>1</v>
      </c>
      <c r="N287" s="1">
        <v>92</v>
      </c>
      <c r="O287" s="18" t="s">
        <v>615</v>
      </c>
      <c r="P287" s="19">
        <v>1.7914550586789921</v>
      </c>
      <c r="Q287" s="20">
        <v>2.46163846930222</v>
      </c>
      <c r="R287" s="19">
        <v>0.60205980455051633</v>
      </c>
      <c r="S287" s="19">
        <v>0.18357058850071509</v>
      </c>
      <c r="T287" s="19">
        <v>0.42614189174147921</v>
      </c>
      <c r="U287" s="19">
        <v>1.2589072002174018</v>
      </c>
      <c r="V287" s="19">
        <v>0.83650533386401038</v>
      </c>
      <c r="W287" s="19">
        <v>0.64307634170454386</v>
      </c>
      <c r="X287" s="19">
        <v>0.55006287953419752</v>
      </c>
      <c r="Y287" s="19">
        <v>12.793603309279407</v>
      </c>
      <c r="Z287" s="19">
        <v>1.3538878362849074</v>
      </c>
      <c r="AA287" s="19">
        <v>4.5558161550616401</v>
      </c>
      <c r="AB287" s="19">
        <v>15.252702386255681</v>
      </c>
      <c r="AC287" s="19">
        <v>0.29889288105416101</v>
      </c>
      <c r="AD287" s="19">
        <v>2.5945485495503542</v>
      </c>
      <c r="AE287" s="19">
        <v>3.8639384504239715</v>
      </c>
      <c r="AF287" s="19">
        <v>4.112700132749362</v>
      </c>
      <c r="AG287" s="19">
        <v>13.457765614851754</v>
      </c>
      <c r="AH287" s="19">
        <v>0.39275703428239456</v>
      </c>
      <c r="AI287" s="19">
        <v>10.428360172704291</v>
      </c>
      <c r="AJ287" s="19">
        <v>14.501277410138618</v>
      </c>
      <c r="AK287" s="19">
        <v>8.0969786363705367</v>
      </c>
      <c r="AL287" s="19">
        <v>7.405992359675837</v>
      </c>
      <c r="AM287" s="19">
        <v>3.8042601156347384</v>
      </c>
      <c r="AN287" s="19">
        <v>3.1521834190550453</v>
      </c>
      <c r="AO287" s="19">
        <v>3.6299394094395399</v>
      </c>
      <c r="AP287" s="19">
        <v>4.2562558732027318</v>
      </c>
      <c r="AQ287" s="81">
        <v>5.2902032051260699</v>
      </c>
    </row>
    <row r="288" spans="1:43">
      <c r="A288" s="54">
        <v>287</v>
      </c>
      <c r="B288" s="55" t="s">
        <v>616</v>
      </c>
      <c r="C288" s="56"/>
      <c r="D288" s="57" t="s">
        <v>617</v>
      </c>
      <c r="E288" s="58" t="s">
        <v>517</v>
      </c>
      <c r="F288" s="59">
        <v>2004</v>
      </c>
      <c r="G288" s="60">
        <v>42.34205</v>
      </c>
      <c r="H288" s="60">
        <v>-82.531850000000006</v>
      </c>
      <c r="I288" s="61"/>
      <c r="J288" s="61"/>
      <c r="L288" s="62">
        <v>1.94725071334926</v>
      </c>
      <c r="M288" s="17">
        <f t="shared" si="7"/>
        <v>1</v>
      </c>
      <c r="N288" s="1">
        <v>97</v>
      </c>
      <c r="O288" s="18" t="s">
        <v>617</v>
      </c>
      <c r="P288" s="19">
        <v>1.5593697912120867</v>
      </c>
      <c r="Q288" s="20">
        <v>1.94725071334926</v>
      </c>
      <c r="R288" s="19">
        <v>0.53957953631262112</v>
      </c>
      <c r="S288" s="19">
        <v>4.2644337408493722E-2</v>
      </c>
      <c r="T288" s="19">
        <v>0.87643066107586076</v>
      </c>
      <c r="U288" s="19">
        <v>0.53392532091656197</v>
      </c>
      <c r="V288" s="19">
        <v>0.5484104775867481</v>
      </c>
      <c r="W288" s="19">
        <v>0.62094918513233666</v>
      </c>
      <c r="X288" s="19">
        <v>2.0327749742123462</v>
      </c>
      <c r="Y288" s="19">
        <v>12.203042055562459</v>
      </c>
      <c r="Z288" s="19">
        <v>2.0075543361382735</v>
      </c>
      <c r="AA288" s="19">
        <v>4.270528942380718</v>
      </c>
      <c r="AB288" s="19">
        <v>14.802768774282756</v>
      </c>
      <c r="AC288" s="19">
        <v>0.13894549792384134</v>
      </c>
      <c r="AD288" s="19">
        <v>2.2564068537942452</v>
      </c>
      <c r="AE288" s="19">
        <v>3.4424127517828182</v>
      </c>
      <c r="AF288" s="19">
        <v>3.7311832415722002</v>
      </c>
      <c r="AG288" s="19">
        <v>13.336088084088425</v>
      </c>
      <c r="AH288" s="19">
        <v>0.12756725098191418</v>
      </c>
      <c r="AI288" s="19">
        <v>9.7696725769999126</v>
      </c>
      <c r="AJ288" s="19">
        <v>13.779411580200181</v>
      </c>
      <c r="AK288" s="19">
        <v>7.7142455176661224</v>
      </c>
      <c r="AL288" s="19">
        <v>7.1436383099220366</v>
      </c>
      <c r="AM288" s="19">
        <v>3.2902769418075346</v>
      </c>
      <c r="AN288" s="19">
        <v>2.3132458517875616</v>
      </c>
      <c r="AO288" s="19">
        <v>3.5260688116675878</v>
      </c>
      <c r="AP288" s="19">
        <v>4.3334237337251915</v>
      </c>
      <c r="AQ288" s="81">
        <v>4.8424760629939394</v>
      </c>
    </row>
    <row r="289" spans="1:43">
      <c r="A289" s="63">
        <v>288</v>
      </c>
      <c r="B289" s="55" t="s">
        <v>618</v>
      </c>
      <c r="C289" s="56"/>
      <c r="D289" s="57" t="s">
        <v>619</v>
      </c>
      <c r="E289" s="58" t="s">
        <v>517</v>
      </c>
      <c r="F289" s="59">
        <v>2004</v>
      </c>
      <c r="G289" s="60">
        <v>42.320480000000003</v>
      </c>
      <c r="H289" s="60">
        <v>-82.594570000000004</v>
      </c>
      <c r="I289" s="61"/>
      <c r="J289" s="61"/>
      <c r="L289" s="62">
        <v>1.7149604528245299</v>
      </c>
      <c r="M289" s="17">
        <f t="shared" si="7"/>
        <v>1</v>
      </c>
      <c r="N289" s="1">
        <v>168</v>
      </c>
      <c r="O289" s="18" t="s">
        <v>619</v>
      </c>
      <c r="P289" s="19">
        <v>1.4409311833226501</v>
      </c>
      <c r="Q289" s="20">
        <v>1.7149604528245299</v>
      </c>
      <c r="R289" s="19">
        <v>0.37508383015524743</v>
      </c>
      <c r="S289" s="19">
        <v>0.27886372545433596</v>
      </c>
      <c r="T289" s="19">
        <v>0.1780694029899817</v>
      </c>
      <c r="U289" s="19">
        <v>0.69346237431983904</v>
      </c>
      <c r="V289" s="19">
        <v>0.96678174601613553</v>
      </c>
      <c r="W289" s="19">
        <v>0.65735999308864657</v>
      </c>
      <c r="X289" s="19">
        <v>1.1521930680197694</v>
      </c>
      <c r="Y289" s="19">
        <v>11.878050912728536</v>
      </c>
      <c r="Z289" s="19">
        <v>2.9521471596195212</v>
      </c>
      <c r="AA289" s="19">
        <v>6.6881378555946835E-2</v>
      </c>
      <c r="AB289" s="19">
        <v>14.755565693267156</v>
      </c>
      <c r="AC289" s="19">
        <v>9.5802924774168796E-2</v>
      </c>
      <c r="AD289" s="19">
        <v>2.2898344651775093</v>
      </c>
      <c r="AE289" s="19">
        <v>3.2649867337777598</v>
      </c>
      <c r="AF289" s="19">
        <v>3.8806855252611245</v>
      </c>
      <c r="AG289" s="19">
        <v>13.615514694925979</v>
      </c>
      <c r="AH289" s="19">
        <v>5.7235368268652033E-2</v>
      </c>
      <c r="AI289" s="19">
        <v>9.1199786096548774</v>
      </c>
      <c r="AJ289" s="19">
        <v>13.544843720322875</v>
      </c>
      <c r="AK289" s="19">
        <v>7.6801836815924895</v>
      </c>
      <c r="AL289" s="19">
        <v>7.1116573462631321</v>
      </c>
      <c r="AM289" s="19">
        <v>3.2422976253190359</v>
      </c>
      <c r="AN289" s="19">
        <v>1.9041950482378747</v>
      </c>
      <c r="AO289" s="19">
        <v>5.3369843700552724E-4</v>
      </c>
      <c r="AP289" s="19">
        <v>4.4309542713857297</v>
      </c>
      <c r="AQ289" s="81">
        <v>4.6409679104498984</v>
      </c>
    </row>
    <row r="290" spans="1:43">
      <c r="A290" s="54">
        <v>289</v>
      </c>
      <c r="B290" s="55" t="s">
        <v>620</v>
      </c>
      <c r="C290" s="56"/>
      <c r="D290" s="57" t="s">
        <v>621</v>
      </c>
      <c r="E290" s="58" t="s">
        <v>517</v>
      </c>
      <c r="F290" s="59">
        <v>2004</v>
      </c>
      <c r="G290" s="60">
        <v>42.31033</v>
      </c>
      <c r="H290" s="60">
        <v>-82.636480000000006</v>
      </c>
      <c r="I290" s="61"/>
      <c r="J290" s="61"/>
      <c r="L290" s="62">
        <v>0.67004569366046995</v>
      </c>
      <c r="M290" s="17">
        <f t="shared" si="7"/>
        <v>1</v>
      </c>
      <c r="N290" s="1">
        <v>93</v>
      </c>
      <c r="O290" s="18" t="s">
        <v>621</v>
      </c>
      <c r="P290" s="19">
        <v>0.73988757642119263</v>
      </c>
      <c r="Q290" s="20">
        <v>0.67004569366046995</v>
      </c>
      <c r="R290" s="19">
        <v>3.8436181656107918E-2</v>
      </c>
      <c r="S290" s="19">
        <v>2.9982866215714315E-2</v>
      </c>
      <c r="T290" s="19">
        <v>0.9245973015675556</v>
      </c>
      <c r="U290" s="19">
        <v>0.27857516960168954</v>
      </c>
      <c r="V290" s="19">
        <v>2.4319679195412891E-2</v>
      </c>
      <c r="W290" s="19">
        <v>0.66652198937776663</v>
      </c>
      <c r="X290" s="19">
        <v>6.1349854938972104E-2</v>
      </c>
      <c r="Y290" s="19">
        <v>10.73047013718422</v>
      </c>
      <c r="Z290" s="19">
        <v>1.4926223285744458</v>
      </c>
      <c r="AA290" s="19">
        <v>3.7580899342018124</v>
      </c>
      <c r="AB290" s="19">
        <v>12.146568675740786</v>
      </c>
      <c r="AC290" s="19">
        <v>3.6062868351496158E-4</v>
      </c>
      <c r="AD290" s="19">
        <v>1.7612852733616193</v>
      </c>
      <c r="AE290" s="19">
        <v>2.1223414075261195</v>
      </c>
      <c r="AF290" s="19">
        <v>2.5202965179898817</v>
      </c>
      <c r="AG290" s="19">
        <v>11.915879378835774</v>
      </c>
      <c r="AH290" s="19">
        <v>2.1394442424216852E-2</v>
      </c>
      <c r="AI290" s="19">
        <v>7.6213193010141911</v>
      </c>
      <c r="AJ290" s="19">
        <v>11.452756029032495</v>
      </c>
      <c r="AK290" s="19">
        <v>6.1963316342657579</v>
      </c>
      <c r="AL290" s="19">
        <v>5.8557405917150298</v>
      </c>
      <c r="AM290" s="19">
        <v>2.1680001245178202</v>
      </c>
      <c r="AN290" s="19">
        <v>1.0313951962755343</v>
      </c>
      <c r="AO290" s="19">
        <v>4.1276332797258739</v>
      </c>
      <c r="AP290" s="19">
        <v>3.0901759497902068</v>
      </c>
      <c r="AQ290" s="81">
        <v>3.3199069066680056</v>
      </c>
    </row>
    <row r="291" spans="1:43">
      <c r="A291" s="63">
        <v>290</v>
      </c>
      <c r="B291" s="55" t="s">
        <v>622</v>
      </c>
      <c r="C291" s="56"/>
      <c r="D291" s="57" t="s">
        <v>623</v>
      </c>
      <c r="E291" s="58" t="s">
        <v>517</v>
      </c>
      <c r="F291" s="59">
        <v>2004</v>
      </c>
      <c r="G291" s="60">
        <v>42.683869999999999</v>
      </c>
      <c r="H291" s="60">
        <v>-82.676019999999994</v>
      </c>
      <c r="I291" s="61"/>
      <c r="J291" s="61"/>
      <c r="L291" s="62">
        <v>2.4061401886443399</v>
      </c>
      <c r="M291" s="17">
        <f t="shared" si="7"/>
        <v>1</v>
      </c>
      <c r="N291" s="1">
        <v>127</v>
      </c>
      <c r="O291" s="18" t="s">
        <v>623</v>
      </c>
      <c r="P291" s="19">
        <v>1.7681378141414898</v>
      </c>
      <c r="Q291" s="20">
        <v>2.4061401886443399</v>
      </c>
      <c r="R291" s="19">
        <v>0.15724164963888942</v>
      </c>
      <c r="S291" s="19">
        <v>0.95466023379950193</v>
      </c>
      <c r="T291" s="19">
        <v>0.64827324684627952</v>
      </c>
      <c r="U291" s="19">
        <v>0.34253929890424156</v>
      </c>
      <c r="V291" s="19">
        <v>0.62827764569474009</v>
      </c>
      <c r="W291" s="19">
        <v>0.30471947106683267</v>
      </c>
      <c r="X291" s="19">
        <v>1.0976352470695558</v>
      </c>
      <c r="Y291" s="19">
        <v>12.663780450683134</v>
      </c>
      <c r="Z291" s="19">
        <v>1.6045458163687107</v>
      </c>
      <c r="AA291" s="19">
        <v>4.478324711485028</v>
      </c>
      <c r="AB291" s="19">
        <v>14.706226188999318</v>
      </c>
      <c r="AC291" s="19">
        <v>0.16066208011334426</v>
      </c>
      <c r="AD291" s="19">
        <v>2.7655347463629769</v>
      </c>
      <c r="AE291" s="19">
        <v>3.6791985705669221</v>
      </c>
      <c r="AF291" s="19">
        <v>4.0435194936627425</v>
      </c>
      <c r="AG291" s="19">
        <v>13.396203382141692</v>
      </c>
      <c r="AH291" s="19">
        <v>5.1859298835249854E-2</v>
      </c>
      <c r="AI291" s="19">
        <v>10.511752653767379</v>
      </c>
      <c r="AJ291" s="19">
        <v>13.377346115656344</v>
      </c>
      <c r="AK291" s="19">
        <v>7.6278986158717483</v>
      </c>
      <c r="AL291" s="19">
        <v>7.0800180290891745</v>
      </c>
      <c r="AM291" s="19">
        <v>3.771885578515366</v>
      </c>
      <c r="AN291" s="19">
        <v>2.2859939723737805</v>
      </c>
      <c r="AO291" s="19">
        <v>3.6052572629390038</v>
      </c>
      <c r="AP291" s="19">
        <v>4.2117909762525407</v>
      </c>
      <c r="AQ291" s="81">
        <v>5.1101961777541991</v>
      </c>
    </row>
    <row r="292" spans="1:43">
      <c r="A292" s="54">
        <v>291</v>
      </c>
      <c r="B292" s="55" t="s">
        <v>624</v>
      </c>
      <c r="C292" s="56"/>
      <c r="D292" s="57" t="s">
        <v>625</v>
      </c>
      <c r="E292" s="58" t="s">
        <v>517</v>
      </c>
      <c r="F292" s="59">
        <v>2004</v>
      </c>
      <c r="G292" s="60">
        <v>42.61515</v>
      </c>
      <c r="H292" s="60">
        <v>-82.728080000000006</v>
      </c>
      <c r="I292" s="61"/>
      <c r="J292" s="61"/>
      <c r="L292" s="62">
        <v>1.8807445056404599</v>
      </c>
      <c r="M292" s="17">
        <f t="shared" si="7"/>
        <v>1</v>
      </c>
      <c r="N292" s="1">
        <v>112</v>
      </c>
      <c r="O292" s="18" t="s">
        <v>625</v>
      </c>
      <c r="P292" s="19">
        <v>1.5264417129828027</v>
      </c>
      <c r="Q292" s="20">
        <v>1.8807445056404597</v>
      </c>
      <c r="R292" s="19">
        <v>0.72542350441653014</v>
      </c>
      <c r="S292" s="19">
        <v>0.24200442369736672</v>
      </c>
      <c r="T292" s="19">
        <v>0.18708887389445999</v>
      </c>
      <c r="U292" s="19">
        <v>0.61631625474376028</v>
      </c>
      <c r="V292" s="19">
        <v>3.7030730944967026E-2</v>
      </c>
      <c r="W292" s="19">
        <v>0.20482755283382814</v>
      </c>
      <c r="X292" s="19">
        <v>0.94817450680211157</v>
      </c>
      <c r="Y292" s="19">
        <v>12.06406908038551</v>
      </c>
      <c r="Z292" s="19">
        <v>1.3248106034204836</v>
      </c>
      <c r="AA292" s="19">
        <v>4.1226727188241403</v>
      </c>
      <c r="AB292" s="19">
        <v>14.83767720470164</v>
      </c>
      <c r="AC292" s="19">
        <v>0.48233202074737608</v>
      </c>
      <c r="AD292" s="19">
        <v>2.3004166278368738</v>
      </c>
      <c r="AE292" s="19">
        <v>3.2585189247113009</v>
      </c>
      <c r="AF292" s="19">
        <v>3.8659188145522125</v>
      </c>
      <c r="AG292" s="19">
        <v>12.983884292164655</v>
      </c>
      <c r="AH292" s="19">
        <v>8.8467286171527035E-2</v>
      </c>
      <c r="AI292" s="19">
        <v>9.695576306222053</v>
      </c>
      <c r="AJ292" s="19">
        <v>14.274014084543573</v>
      </c>
      <c r="AK292" s="19">
        <v>7.3282261187877316</v>
      </c>
      <c r="AL292" s="19">
        <v>7.0520245604828311</v>
      </c>
      <c r="AM292" s="19">
        <v>3.3510628989403854</v>
      </c>
      <c r="AN292" s="19">
        <v>2.232660756790275</v>
      </c>
      <c r="AO292" s="19">
        <v>3.2184712107432616</v>
      </c>
      <c r="AP292" s="19">
        <v>3.9164766444377164</v>
      </c>
      <c r="AQ292" s="81">
        <v>5.5996153486216054</v>
      </c>
    </row>
    <row r="293" spans="1:43">
      <c r="A293" s="63">
        <v>292</v>
      </c>
      <c r="B293" s="55" t="s">
        <v>626</v>
      </c>
      <c r="C293" s="56"/>
      <c r="D293" s="57" t="s">
        <v>627</v>
      </c>
      <c r="E293" s="58" t="s">
        <v>517</v>
      </c>
      <c r="F293" s="59">
        <v>2004</v>
      </c>
      <c r="G293" s="60">
        <v>42.6083</v>
      </c>
      <c r="H293" s="60">
        <v>-82.727369999999993</v>
      </c>
      <c r="I293" s="61"/>
      <c r="J293" s="61"/>
      <c r="L293" s="62">
        <v>1.44435328461583</v>
      </c>
      <c r="M293" s="17">
        <f t="shared" si="7"/>
        <v>1</v>
      </c>
      <c r="N293" s="1">
        <v>76</v>
      </c>
      <c r="O293" s="18" t="s">
        <v>627</v>
      </c>
      <c r="P293" s="19">
        <v>1.2894528142602044</v>
      </c>
      <c r="Q293" s="20">
        <v>1.44435328461583</v>
      </c>
      <c r="R293" s="19">
        <v>0.47335866640906282</v>
      </c>
      <c r="S293" s="19">
        <v>8.6303051434400563E-3</v>
      </c>
      <c r="T293" s="19">
        <v>0.5515516330162088</v>
      </c>
      <c r="U293" s="19">
        <v>0.29329370717506004</v>
      </c>
      <c r="V293" s="19">
        <v>0.50370406026484182</v>
      </c>
      <c r="W293" s="19">
        <v>0.99985203644207588</v>
      </c>
      <c r="X293" s="19">
        <v>0.66414287070553868</v>
      </c>
      <c r="Y293" s="19">
        <v>11.869593843240784</v>
      </c>
      <c r="Z293" s="19">
        <v>1.252778951528184</v>
      </c>
      <c r="AA293" s="19">
        <v>4.3219280948873626</v>
      </c>
      <c r="AB293" s="19">
        <v>14.536914975496805</v>
      </c>
      <c r="AC293" s="19">
        <v>0.37362037324573705</v>
      </c>
      <c r="AD293" s="19">
        <v>2.2010064660560928</v>
      </c>
      <c r="AE293" s="19">
        <v>3.0449186403752799</v>
      </c>
      <c r="AF293" s="19">
        <v>3.5897634869849773</v>
      </c>
      <c r="AG293" s="19">
        <v>12.688468882732701</v>
      </c>
      <c r="AH293" s="19">
        <v>5.8801353616186221E-2</v>
      </c>
      <c r="AI293" s="19">
        <v>9.5192430943611814</v>
      </c>
      <c r="AJ293" s="19">
        <v>13.969476462119774</v>
      </c>
      <c r="AK293" s="19">
        <v>6.9932214673689383</v>
      </c>
      <c r="AL293" s="19">
        <v>6.756222712847288</v>
      </c>
      <c r="AM293" s="19">
        <v>3.0714194564898869</v>
      </c>
      <c r="AN293" s="19">
        <v>1.8511993385932939</v>
      </c>
      <c r="AO293" s="19">
        <v>4.7792597203723757</v>
      </c>
      <c r="AP293" s="19">
        <v>3.8559896973084808</v>
      </c>
      <c r="AQ293" s="81">
        <v>5.2234225499349369</v>
      </c>
    </row>
    <row r="294" spans="1:43">
      <c r="A294" s="54">
        <v>293</v>
      </c>
      <c r="B294" s="55" t="s">
        <v>628</v>
      </c>
      <c r="C294" s="56"/>
      <c r="D294" s="57" t="s">
        <v>629</v>
      </c>
      <c r="E294" s="58" t="s">
        <v>517</v>
      </c>
      <c r="F294" s="59">
        <v>2004</v>
      </c>
      <c r="G294" s="60">
        <v>42.597619999999999</v>
      </c>
      <c r="H294" s="60">
        <v>-82.682519999999997</v>
      </c>
      <c r="I294" s="61"/>
      <c r="J294" s="61"/>
      <c r="L294" s="62">
        <v>1.8414421399496099</v>
      </c>
      <c r="M294" s="17">
        <f t="shared" si="7"/>
        <v>1</v>
      </c>
      <c r="N294" s="1">
        <v>81</v>
      </c>
      <c r="O294" s="18" t="s">
        <v>629</v>
      </c>
      <c r="P294" s="19">
        <v>1.5066233382090035</v>
      </c>
      <c r="Q294" s="20">
        <v>1.8414421399496099</v>
      </c>
      <c r="R294" s="19">
        <v>0.25234283112138922</v>
      </c>
      <c r="S294" s="19">
        <v>1.4419741739063218E-3</v>
      </c>
      <c r="T294" s="19">
        <v>0.85692819416068977</v>
      </c>
      <c r="U294" s="19">
        <v>0.34046928584476033</v>
      </c>
      <c r="V294" s="19">
        <v>4.3216059500934675E-3</v>
      </c>
      <c r="W294" s="19">
        <v>0.24322471305050425</v>
      </c>
      <c r="X294" s="19">
        <v>0.73160588684555228</v>
      </c>
      <c r="Y294" s="19">
        <v>12.07112712494831</v>
      </c>
      <c r="Z294" s="19">
        <v>1.1176950426697545</v>
      </c>
      <c r="AA294" s="19">
        <v>4.4093909361377017</v>
      </c>
      <c r="AB294" s="19">
        <v>14.327622812367089</v>
      </c>
      <c r="AC294" s="19">
        <v>0.27393356926688534</v>
      </c>
      <c r="AD294" s="19">
        <v>2.2378696008675099</v>
      </c>
      <c r="AE294" s="19">
        <v>3.0394893719018508</v>
      </c>
      <c r="AF294" s="19">
        <v>3.6403895600549454</v>
      </c>
      <c r="AG294" s="19">
        <v>12.711021616791836</v>
      </c>
      <c r="AH294" s="19">
        <v>5.088474002509346E-2</v>
      </c>
      <c r="AI294" s="19">
        <v>9.6924411473477736</v>
      </c>
      <c r="AJ294" s="19">
        <v>13.776330214140097</v>
      </c>
      <c r="AK294" s="19">
        <v>6.7575566889394532</v>
      </c>
      <c r="AL294" s="19">
        <v>6.910492832288714</v>
      </c>
      <c r="AM294" s="19">
        <v>3.1750454861109136</v>
      </c>
      <c r="AN294" s="19">
        <v>2.1156991534315863</v>
      </c>
      <c r="AO294" s="19">
        <v>4.8247678531432934</v>
      </c>
      <c r="AP294" s="19">
        <v>3.8176232575114311</v>
      </c>
      <c r="AQ294" s="81">
        <v>5.0925457415435655</v>
      </c>
    </row>
    <row r="295" spans="1:43">
      <c r="A295" s="63">
        <v>294</v>
      </c>
      <c r="B295" s="55" t="s">
        <v>630</v>
      </c>
      <c r="C295" s="56"/>
      <c r="D295" s="57" t="s">
        <v>631</v>
      </c>
      <c r="E295" s="58" t="s">
        <v>517</v>
      </c>
      <c r="F295" s="59">
        <v>2004</v>
      </c>
      <c r="G295" s="60">
        <v>42.556849999999997</v>
      </c>
      <c r="H295" s="60">
        <v>-82.751720000000006</v>
      </c>
      <c r="I295" s="61"/>
      <c r="J295" s="61"/>
      <c r="L295" s="62">
        <v>0.71902033479385397</v>
      </c>
      <c r="M295" s="17">
        <f t="shared" si="7"/>
        <v>1</v>
      </c>
      <c r="N295" s="1">
        <v>82</v>
      </c>
      <c r="O295" s="18" t="s">
        <v>631</v>
      </c>
      <c r="P295" s="19">
        <v>0.7815866109781221</v>
      </c>
      <c r="Q295" s="20">
        <v>0.71902033479385397</v>
      </c>
      <c r="R295" s="19">
        <v>5.7592692886849527E-3</v>
      </c>
      <c r="S295" s="19">
        <v>1.0063683344697479E-2</v>
      </c>
      <c r="T295" s="19">
        <v>0.22114847800990231</v>
      </c>
      <c r="U295" s="19">
        <v>0.39648251326338035</v>
      </c>
      <c r="V295" s="19">
        <v>2.0057652341253476E-2</v>
      </c>
      <c r="W295" s="19">
        <v>0.37466186319810668</v>
      </c>
      <c r="X295" s="19">
        <v>4.9625690576266493E-2</v>
      </c>
      <c r="Y295" s="19">
        <v>11.288866074165821</v>
      </c>
      <c r="Z295" s="19">
        <v>2.0104218054865113</v>
      </c>
      <c r="AA295" s="19">
        <v>4.1546156113268937</v>
      </c>
      <c r="AB295" s="19">
        <v>13.281495414799457</v>
      </c>
      <c r="AC295" s="19">
        <v>6.9232747432241518E-4</v>
      </c>
      <c r="AD295" s="19">
        <v>1.8808813972376508</v>
      </c>
      <c r="AE295" s="19">
        <v>2.9141817950022695</v>
      </c>
      <c r="AF295" s="19">
        <v>2.9282755616119349</v>
      </c>
      <c r="AG295" s="19">
        <v>12.586839787961827</v>
      </c>
      <c r="AH295" s="19">
        <v>3.9854298461985113E-2</v>
      </c>
      <c r="AI295" s="19">
        <v>8.2035927142077067</v>
      </c>
      <c r="AJ295" s="19">
        <v>12.489597122389307</v>
      </c>
      <c r="AK295" s="19">
        <v>6.4426118036893438</v>
      </c>
      <c r="AL295" s="19">
        <v>6.1998686165244283</v>
      </c>
      <c r="AM295" s="19">
        <v>2.6615215958527605</v>
      </c>
      <c r="AN295" s="19">
        <v>1.4890290638504373</v>
      </c>
      <c r="AO295" s="19">
        <v>4.6034779882540038</v>
      </c>
      <c r="AP295" s="19">
        <v>3.6746866199279991</v>
      </c>
      <c r="AQ295" s="81">
        <v>4.1586601753464985</v>
      </c>
    </row>
    <row r="296" spans="1:43">
      <c r="A296" s="54">
        <v>295</v>
      </c>
      <c r="B296" s="55" t="s">
        <v>632</v>
      </c>
      <c r="C296" s="56"/>
      <c r="D296" s="57" t="s">
        <v>633</v>
      </c>
      <c r="E296" s="58" t="s">
        <v>517</v>
      </c>
      <c r="F296" s="59">
        <v>2004</v>
      </c>
      <c r="G296" s="60">
        <v>42.556820000000002</v>
      </c>
      <c r="H296" s="60">
        <v>-82.807900000000004</v>
      </c>
      <c r="I296" s="61"/>
      <c r="J296" s="61"/>
      <c r="L296" s="62">
        <v>1.07155989004254</v>
      </c>
      <c r="M296" s="17">
        <f t="shared" si="7"/>
        <v>1</v>
      </c>
      <c r="N296" s="1">
        <v>103</v>
      </c>
      <c r="O296" s="18" t="s">
        <v>633</v>
      </c>
      <c r="P296" s="19">
        <v>1.0507175301015161</v>
      </c>
      <c r="Q296" s="20">
        <v>1.0715598900425398</v>
      </c>
      <c r="R296" s="19">
        <v>1.1495638837829437E-2</v>
      </c>
      <c r="S296" s="19">
        <v>1.2926174444270048E-2</v>
      </c>
      <c r="T296" s="19">
        <v>0.20970578711760698</v>
      </c>
      <c r="U296" s="19">
        <v>0.2214974848717734</v>
      </c>
      <c r="V296" s="19">
        <v>1.7209290032223101E-2</v>
      </c>
      <c r="W296" s="19">
        <v>0.20612522719994428</v>
      </c>
      <c r="X296" s="19">
        <v>1.0055279819516663</v>
      </c>
      <c r="Y296" s="19">
        <v>11.86457308177364</v>
      </c>
      <c r="Z296" s="19">
        <v>1.7945198406242953</v>
      </c>
      <c r="AA296" s="19">
        <v>4.1882426562644097</v>
      </c>
      <c r="AB296" s="19">
        <v>13.150064579081469</v>
      </c>
      <c r="AC296" s="19">
        <v>7.5000643648463696E-4</v>
      </c>
      <c r="AD296" s="19">
        <v>2.2178510968111316</v>
      </c>
      <c r="AE296" s="19">
        <v>3.1868174593571119</v>
      </c>
      <c r="AF296" s="19">
        <v>3.3588182054276281</v>
      </c>
      <c r="AG296" s="19">
        <v>12.763834799429601</v>
      </c>
      <c r="AH296" s="19">
        <v>3.1564583009293011E-2</v>
      </c>
      <c r="AI296" s="19">
        <v>9.3087940672164766</v>
      </c>
      <c r="AJ296" s="19">
        <v>12.262094845370179</v>
      </c>
      <c r="AK296" s="19">
        <v>6.4239142676730996</v>
      </c>
      <c r="AL296" s="19">
        <v>6.384395238388068</v>
      </c>
      <c r="AM296" s="19">
        <v>2.9299803153543116</v>
      </c>
      <c r="AN296" s="19">
        <v>2.1609201881811031</v>
      </c>
      <c r="AO296" s="19">
        <v>4.7532836164608785</v>
      </c>
      <c r="AP296" s="19">
        <v>3.7516779456875784</v>
      </c>
      <c r="AQ296" s="81">
        <v>4.4867143730307024</v>
      </c>
    </row>
    <row r="297" spans="1:43">
      <c r="A297" s="63">
        <v>296</v>
      </c>
      <c r="B297" s="55" t="s">
        <v>634</v>
      </c>
      <c r="C297" s="56"/>
      <c r="D297" s="57" t="s">
        <v>635</v>
      </c>
      <c r="E297" s="58" t="s">
        <v>517</v>
      </c>
      <c r="F297" s="59">
        <v>2004</v>
      </c>
      <c r="G297" s="60">
        <v>42.541919999999998</v>
      </c>
      <c r="H297" s="60">
        <v>-82.784829999999999</v>
      </c>
      <c r="I297" s="61"/>
      <c r="J297" s="61"/>
      <c r="L297" s="62">
        <v>1.5063615267664301</v>
      </c>
      <c r="M297" s="17">
        <f t="shared" si="7"/>
        <v>1</v>
      </c>
      <c r="N297" s="1">
        <v>106</v>
      </c>
      <c r="O297" s="18" t="s">
        <v>635</v>
      </c>
      <c r="P297" s="19">
        <v>1.3255945292864606</v>
      </c>
      <c r="Q297" s="20">
        <v>1.5063615267664301</v>
      </c>
      <c r="R297" s="19">
        <v>3.1395196275534325E-2</v>
      </c>
      <c r="S297" s="19">
        <v>1.8634174139050975E-2</v>
      </c>
      <c r="T297" s="19">
        <v>0.40749548835780658</v>
      </c>
      <c r="U297" s="19">
        <v>0.23232076230602236</v>
      </c>
      <c r="V297" s="19">
        <v>2.5737561413608275E-2</v>
      </c>
      <c r="W297" s="19">
        <v>0.30142315182242224</v>
      </c>
      <c r="X297" s="19">
        <v>1.3648094471834666</v>
      </c>
      <c r="Y297" s="19">
        <v>11.996120363033047</v>
      </c>
      <c r="Z297" s="19">
        <v>1.1833277060448006</v>
      </c>
      <c r="AA297" s="19">
        <v>4.2008495746372132</v>
      </c>
      <c r="AB297" s="19">
        <v>13.791671650079806</v>
      </c>
      <c r="AC297" s="19">
        <v>0.21437352443645455</v>
      </c>
      <c r="AD297" s="19">
        <v>2.2393980415665555</v>
      </c>
      <c r="AE297" s="19">
        <v>3.3593806048269688</v>
      </c>
      <c r="AF297" s="19">
        <v>3.3704433048213018</v>
      </c>
      <c r="AG297" s="19">
        <v>12.638435913990472</v>
      </c>
      <c r="AH297" s="19">
        <v>4.9575010317073252E-2</v>
      </c>
      <c r="AI297" s="19">
        <v>9.4838157772642564</v>
      </c>
      <c r="AJ297" s="19">
        <v>13.002287618401075</v>
      </c>
      <c r="AK297" s="19">
        <v>6.8875252707415875</v>
      </c>
      <c r="AL297" s="19">
        <v>6.7535510546006545</v>
      </c>
      <c r="AM297" s="19">
        <v>3.0703893278913981</v>
      </c>
      <c r="AN297" s="19">
        <v>2.4051755086352986</v>
      </c>
      <c r="AO297" s="19">
        <v>4.6415460290875235</v>
      </c>
      <c r="AP297" s="19">
        <v>3.8196681834964559</v>
      </c>
      <c r="AQ297" s="81">
        <v>4.840463233869543</v>
      </c>
    </row>
    <row r="298" spans="1:43">
      <c r="A298" s="54">
        <v>297</v>
      </c>
      <c r="B298" s="55" t="s">
        <v>636</v>
      </c>
      <c r="C298" s="56"/>
      <c r="D298" s="57" t="s">
        <v>637</v>
      </c>
      <c r="E298" s="58" t="s">
        <v>517</v>
      </c>
      <c r="F298" s="59">
        <v>2004</v>
      </c>
      <c r="G298" s="60">
        <v>42.408549999999998</v>
      </c>
      <c r="H298" s="60">
        <v>-82.85745</v>
      </c>
      <c r="I298" s="61"/>
      <c r="J298" s="61"/>
      <c r="L298" s="62">
        <v>2.6054158607350102</v>
      </c>
      <c r="M298" s="17">
        <f t="shared" si="7"/>
        <v>1</v>
      </c>
      <c r="N298" s="1">
        <v>155</v>
      </c>
      <c r="O298" s="18" t="s">
        <v>637</v>
      </c>
      <c r="P298" s="19">
        <v>1.8501656743393458</v>
      </c>
      <c r="Q298" s="20">
        <v>2.6054158607350102</v>
      </c>
      <c r="R298" s="19">
        <v>0.530912649307832</v>
      </c>
      <c r="S298" s="19">
        <v>0.89338998775378098</v>
      </c>
      <c r="T298" s="19">
        <v>0.88532241867078931</v>
      </c>
      <c r="U298" s="19">
        <v>1.8177519745373725</v>
      </c>
      <c r="V298" s="19">
        <v>0.52988745807594073</v>
      </c>
      <c r="W298" s="19">
        <v>0.97465036813765971</v>
      </c>
      <c r="X298" s="19">
        <v>1.4559558182171828</v>
      </c>
      <c r="Y298" s="19">
        <v>12.660218788535618</v>
      </c>
      <c r="Z298" s="19">
        <v>1.4313555215735165</v>
      </c>
      <c r="AA298" s="19">
        <v>4.4969735809982758</v>
      </c>
      <c r="AB298" s="19">
        <v>15.028898889559013</v>
      </c>
      <c r="AC298" s="19">
        <v>0.42330923724238684</v>
      </c>
      <c r="AD298" s="19">
        <v>2.5694910919587164</v>
      </c>
      <c r="AE298" s="19">
        <v>3.8914191868460786</v>
      </c>
      <c r="AF298" s="19">
        <v>4.1707262761315516</v>
      </c>
      <c r="AG298" s="19">
        <v>13.40554038337693</v>
      </c>
      <c r="AH298" s="19">
        <v>0.15341624225524789</v>
      </c>
      <c r="AI298" s="19">
        <v>10.339850002884624</v>
      </c>
      <c r="AJ298" s="19">
        <v>14.31776589511465</v>
      </c>
      <c r="AK298" s="19">
        <v>7.6941837433331495</v>
      </c>
      <c r="AL298" s="19">
        <v>7.1749256825006791</v>
      </c>
      <c r="AM298" s="19">
        <v>3.773996325111173</v>
      </c>
      <c r="AN298" s="19">
        <v>3.2754540944613217</v>
      </c>
      <c r="AO298" s="19">
        <v>3.5558161550616396</v>
      </c>
      <c r="AP298" s="19">
        <v>4.2410774581750372</v>
      </c>
      <c r="AQ298" s="81">
        <v>5.4763816875672351</v>
      </c>
    </row>
    <row r="299" spans="1:43">
      <c r="A299" s="63">
        <v>298</v>
      </c>
      <c r="B299" s="55" t="s">
        <v>638</v>
      </c>
      <c r="C299" s="56"/>
      <c r="D299" s="64" t="s">
        <v>639</v>
      </c>
      <c r="E299" s="58" t="s">
        <v>517</v>
      </c>
      <c r="F299" s="65">
        <v>2004</v>
      </c>
      <c r="G299" s="66">
        <v>42.385170000000002</v>
      </c>
      <c r="H299" s="66">
        <v>-82.880970000000005</v>
      </c>
      <c r="I299" s="67"/>
      <c r="J299" s="67"/>
      <c r="L299" s="68">
        <v>1.1672376703051599</v>
      </c>
      <c r="M299" s="17">
        <f t="shared" si="7"/>
        <v>1</v>
      </c>
      <c r="N299" s="1">
        <v>142</v>
      </c>
      <c r="O299" s="18" t="s">
        <v>639</v>
      </c>
      <c r="P299" s="19">
        <v>1.1158573753829639</v>
      </c>
      <c r="Q299" s="20">
        <v>1.1672376703051599</v>
      </c>
      <c r="R299" s="19">
        <v>0.95477690717176311</v>
      </c>
      <c r="S299" s="19">
        <v>0.28612263353272116</v>
      </c>
      <c r="T299" s="19">
        <v>0.37505186074388769</v>
      </c>
      <c r="U299" s="19">
        <v>0.96813757074091922</v>
      </c>
      <c r="V299" s="19">
        <v>4.1242982231881338E-2</v>
      </c>
      <c r="W299" s="19">
        <v>0.20528807496458656</v>
      </c>
      <c r="X299" s="19">
        <v>1.2295766603000122</v>
      </c>
      <c r="Y299" s="19">
        <v>11.471167133724391</v>
      </c>
      <c r="Z299" s="19">
        <v>1.8459917706645732</v>
      </c>
      <c r="AA299" s="19">
        <v>2.9847716123854249</v>
      </c>
      <c r="AB299" s="19">
        <v>14.111543245749719</v>
      </c>
      <c r="AC299" s="19">
        <v>0.17030966883317647</v>
      </c>
      <c r="AD299" s="19">
        <v>2.0405417938628467</v>
      </c>
      <c r="AE299" s="19">
        <v>3.3803138658877154</v>
      </c>
      <c r="AF299" s="19">
        <v>3.2272789944683207</v>
      </c>
      <c r="AG299" s="19">
        <v>12.914011328541255</v>
      </c>
      <c r="AH299" s="19">
        <v>3.4441118828862617E-2</v>
      </c>
      <c r="AI299" s="19">
        <v>8.6198531473911686</v>
      </c>
      <c r="AJ299" s="19">
        <v>12.952377251967985</v>
      </c>
      <c r="AK299" s="19">
        <v>6.8554914431018741</v>
      </c>
      <c r="AL299" s="19">
        <v>6.593353770980297</v>
      </c>
      <c r="AM299" s="19">
        <v>3.0347439493247341</v>
      </c>
      <c r="AN299" s="19">
        <v>2.0679828301843024</v>
      </c>
      <c r="AO299" s="19">
        <v>2.2141248053528475</v>
      </c>
      <c r="AP299" s="19">
        <v>3.9078520718459635</v>
      </c>
      <c r="AQ299" s="81">
        <v>5.8158315664648237</v>
      </c>
    </row>
    <row r="300" spans="1:43">
      <c r="A300" s="54">
        <v>299</v>
      </c>
      <c r="B300" s="55" t="s">
        <v>640</v>
      </c>
      <c r="C300" s="56"/>
      <c r="D300" s="57" t="s">
        <v>641</v>
      </c>
      <c r="E300" s="58" t="s">
        <v>517</v>
      </c>
      <c r="F300" s="59">
        <v>2004</v>
      </c>
      <c r="G300" s="60">
        <v>42.363599999999998</v>
      </c>
      <c r="H300" s="60">
        <v>-82.899370000000005</v>
      </c>
      <c r="I300" s="61"/>
      <c r="J300" s="61"/>
      <c r="L300" s="62">
        <v>2.3738663379413398</v>
      </c>
      <c r="M300" s="17">
        <f t="shared" si="7"/>
        <v>1</v>
      </c>
      <c r="N300" s="1">
        <v>113</v>
      </c>
      <c r="O300" s="18" t="s">
        <v>641</v>
      </c>
      <c r="P300" s="19">
        <v>1.7544028196809422</v>
      </c>
      <c r="Q300" s="20">
        <v>2.3738663379413398</v>
      </c>
      <c r="R300" s="19">
        <v>0.3553989206595648</v>
      </c>
      <c r="S300" s="19">
        <v>0.71652493359239577</v>
      </c>
      <c r="T300" s="19">
        <v>0.95733385656707271</v>
      </c>
      <c r="U300" s="19">
        <v>0.50108505409621107</v>
      </c>
      <c r="V300" s="19">
        <v>0.88196208856260572</v>
      </c>
      <c r="W300" s="19">
        <v>0.31398197628419644</v>
      </c>
      <c r="X300" s="19">
        <v>1.4936665722051288</v>
      </c>
      <c r="Y300" s="19">
        <v>12.645883554519004</v>
      </c>
      <c r="Z300" s="19">
        <v>1.4704067108193299</v>
      </c>
      <c r="AA300" s="19">
        <v>4.399171093819823</v>
      </c>
      <c r="AB300" s="19">
        <v>15.105376563999251</v>
      </c>
      <c r="AC300" s="19">
        <v>0.26543689604909831</v>
      </c>
      <c r="AD300" s="19">
        <v>2.3294106712185685</v>
      </c>
      <c r="AE300" s="19">
        <v>3.7918140711618258</v>
      </c>
      <c r="AF300" s="19">
        <v>4.2433644256936605</v>
      </c>
      <c r="AG300" s="19">
        <v>13.439701045971955</v>
      </c>
      <c r="AH300" s="19">
        <v>0.34709867062226835</v>
      </c>
      <c r="AI300" s="19">
        <v>10.312882955284355</v>
      </c>
      <c r="AJ300" s="19">
        <v>14.149350196773785</v>
      </c>
      <c r="AK300" s="19">
        <v>7.7989577479004275</v>
      </c>
      <c r="AL300" s="19">
        <v>7</v>
      </c>
      <c r="AM300" s="19">
        <v>3.7092906357233577</v>
      </c>
      <c r="AN300" s="19">
        <v>3.0769010875572635</v>
      </c>
      <c r="AO300" s="19">
        <v>3.5945485495503542</v>
      </c>
      <c r="AP300" s="19">
        <v>4.3008558712687615</v>
      </c>
      <c r="AQ300" s="81">
        <v>5.1395513523987937</v>
      </c>
    </row>
    <row r="301" spans="1:43">
      <c r="A301" s="63">
        <v>300</v>
      </c>
      <c r="B301" s="55" t="s">
        <v>642</v>
      </c>
      <c r="C301" s="56"/>
      <c r="D301" s="57" t="s">
        <v>643</v>
      </c>
      <c r="E301" s="58" t="s">
        <v>517</v>
      </c>
      <c r="F301" s="59">
        <v>2005</v>
      </c>
      <c r="G301" s="60">
        <v>42.549529999999997</v>
      </c>
      <c r="H301" s="60">
        <v>-82.583920000000006</v>
      </c>
      <c r="I301" s="61"/>
      <c r="J301" s="61"/>
      <c r="L301" s="62">
        <v>2.89</v>
      </c>
      <c r="M301" s="17">
        <f t="shared" si="7"/>
        <v>1</v>
      </c>
      <c r="N301" s="1">
        <v>36</v>
      </c>
      <c r="O301" s="18" t="s">
        <v>643</v>
      </c>
      <c r="P301" s="19">
        <v>1.9597701552114672</v>
      </c>
      <c r="Q301" s="20">
        <v>2.89</v>
      </c>
      <c r="R301" s="19">
        <v>3.7154056577447401</v>
      </c>
      <c r="S301" s="19">
        <v>1.0063683344697479E-2</v>
      </c>
      <c r="T301" s="19">
        <v>2.4886659026231772</v>
      </c>
      <c r="U301" s="19">
        <v>4.1551815639792071</v>
      </c>
      <c r="V301" s="19">
        <v>3.6854992201474919</v>
      </c>
      <c r="W301" s="19">
        <v>2.0057652341253476E-2</v>
      </c>
      <c r="X301" s="19">
        <v>4.1997894104395925</v>
      </c>
      <c r="Y301" s="19">
        <v>12.722380635163802</v>
      </c>
      <c r="Z301" s="19">
        <v>1.3679301414318827</v>
      </c>
      <c r="AA301" s="19">
        <v>4.4600872401168328</v>
      </c>
      <c r="AB301" s="19">
        <v>15.402445862469493</v>
      </c>
      <c r="AC301" s="19">
        <v>0.59893683382252716</v>
      </c>
      <c r="AD301" s="19">
        <v>2.6468538789426832</v>
      </c>
      <c r="AE301" s="19">
        <v>3.7865963618908069</v>
      </c>
      <c r="AF301" s="19">
        <v>4.0874628412503391</v>
      </c>
      <c r="AG301" s="19">
        <v>13.385458001187969</v>
      </c>
      <c r="AH301" s="19">
        <v>0.84887828424195466</v>
      </c>
      <c r="AI301" s="19">
        <v>10.564149489985732</v>
      </c>
      <c r="AJ301" s="19">
        <v>14.56098954091099</v>
      </c>
      <c r="AK301" s="19">
        <v>7.5984247605277186</v>
      </c>
      <c r="AL301" s="19">
        <v>7.5698556083309478</v>
      </c>
      <c r="AM301" s="19">
        <v>3.8589756142920195</v>
      </c>
      <c r="AN301" s="19">
        <v>3.02945288578697</v>
      </c>
      <c r="AO301" s="19">
        <v>3.8176232575114311</v>
      </c>
      <c r="AP301" s="19">
        <v>4.2757520488285294</v>
      </c>
      <c r="AQ301" s="81">
        <v>5.5771266613070516</v>
      </c>
    </row>
    <row r="302" spans="1:43">
      <c r="A302" s="54">
        <v>301</v>
      </c>
      <c r="B302" s="55" t="s">
        <v>644</v>
      </c>
      <c r="C302" s="56"/>
      <c r="D302" s="57" t="s">
        <v>645</v>
      </c>
      <c r="E302" s="58" t="s">
        <v>517</v>
      </c>
      <c r="F302" s="59">
        <v>2005</v>
      </c>
      <c r="G302" s="60">
        <v>42.596679999999999</v>
      </c>
      <c r="H302" s="60">
        <v>-82.53152</v>
      </c>
      <c r="I302" s="61"/>
      <c r="J302" s="61"/>
      <c r="L302" s="62">
        <v>3.12</v>
      </c>
      <c r="M302" s="17">
        <f t="shared" ref="M302:M324" si="8">(L302=Q302)*1</f>
        <v>1</v>
      </c>
      <c r="N302" s="1">
        <v>59</v>
      </c>
      <c r="O302" s="18" t="s">
        <v>645</v>
      </c>
      <c r="P302" s="19">
        <v>2.0426443374084937</v>
      </c>
      <c r="Q302" s="20">
        <v>3.12</v>
      </c>
      <c r="R302" s="19">
        <v>2.4113698264608523</v>
      </c>
      <c r="S302" s="19">
        <v>1.8634174139050975E-2</v>
      </c>
      <c r="T302" s="19">
        <v>1.8557526975672043</v>
      </c>
      <c r="U302" s="19">
        <v>4.4377445790147441</v>
      </c>
      <c r="V302" s="19">
        <v>2.2450068714933074</v>
      </c>
      <c r="W302" s="19">
        <v>2.5737561413608275E-2</v>
      </c>
      <c r="X302" s="19">
        <v>3.6019643607402418</v>
      </c>
      <c r="Y302" s="19">
        <v>12.537703747907644</v>
      </c>
      <c r="Z302" s="19">
        <v>1.704871964456353</v>
      </c>
      <c r="AA302" s="19">
        <v>4.6217588567097323</v>
      </c>
      <c r="AB302" s="19">
        <v>15.625166589157983</v>
      </c>
      <c r="AC302" s="19">
        <v>0.64689994862194788</v>
      </c>
      <c r="AD302" s="19">
        <v>2.6560386627321151</v>
      </c>
      <c r="AE302" s="19">
        <v>3.6322682154995127</v>
      </c>
      <c r="AF302" s="19">
        <v>4.0712478194614432</v>
      </c>
      <c r="AG302" s="19">
        <v>13.389496903716381</v>
      </c>
      <c r="AH302" s="19">
        <v>0.71140680044584736</v>
      </c>
      <c r="AI302" s="19">
        <v>10.477758266443889</v>
      </c>
      <c r="AJ302" s="19">
        <v>14.414751291760199</v>
      </c>
      <c r="AK302" s="19">
        <v>7.7135583564047918</v>
      </c>
      <c r="AL302" s="19">
        <v>7.7197310567498523</v>
      </c>
      <c r="AM302" s="19">
        <v>3.8923910259134034</v>
      </c>
      <c r="AN302" s="19">
        <v>2.8565873753012401</v>
      </c>
      <c r="AO302" s="19">
        <v>3.9836776946980672</v>
      </c>
      <c r="AP302" s="19">
        <v>4.1731274334806558</v>
      </c>
      <c r="AQ302" s="81">
        <v>5.5515160176280141</v>
      </c>
    </row>
    <row r="303" spans="1:43">
      <c r="A303" s="63">
        <v>302</v>
      </c>
      <c r="B303" s="55" t="s">
        <v>646</v>
      </c>
      <c r="C303" s="56"/>
      <c r="D303" s="57" t="s">
        <v>647</v>
      </c>
      <c r="E303" s="58" t="s">
        <v>517</v>
      </c>
      <c r="F303" s="59">
        <v>2005</v>
      </c>
      <c r="G303" s="60">
        <v>42.633319999999998</v>
      </c>
      <c r="H303" s="60">
        <v>-82.490020000000001</v>
      </c>
      <c r="I303" s="61"/>
      <c r="J303" s="61"/>
      <c r="L303" s="62">
        <v>2.21</v>
      </c>
      <c r="M303" s="17">
        <f t="shared" si="8"/>
        <v>1</v>
      </c>
      <c r="N303" s="1">
        <v>149</v>
      </c>
      <c r="O303" s="18" t="s">
        <v>647</v>
      </c>
      <c r="P303" s="19">
        <v>1.6825732973475784</v>
      </c>
      <c r="Q303" s="20">
        <v>2.21</v>
      </c>
      <c r="R303" s="19">
        <v>0.63451586806195348</v>
      </c>
      <c r="S303" s="19">
        <v>1.7209290032223101E-2</v>
      </c>
      <c r="T303" s="19">
        <v>0.92349027819113572</v>
      </c>
      <c r="U303" s="19">
        <v>2.9517174923943887</v>
      </c>
      <c r="V303" s="19">
        <v>1.5647060213314632</v>
      </c>
      <c r="W303" s="19">
        <v>3.1395196275534325E-2</v>
      </c>
      <c r="X303" s="19">
        <v>2.0886168491598949</v>
      </c>
      <c r="Y303" s="19">
        <v>12.783612165256038</v>
      </c>
      <c r="Z303" s="19">
        <v>2.452858964713811</v>
      </c>
      <c r="AA303" s="19">
        <v>1.4426229109453829E-4</v>
      </c>
      <c r="AB303" s="19">
        <v>15.217162542906287</v>
      </c>
      <c r="AC303" s="19">
        <v>0.42749890522239509</v>
      </c>
      <c r="AD303" s="19">
        <v>2.8543946777531009</v>
      </c>
      <c r="AE303" s="19">
        <v>3.6848187375532224</v>
      </c>
      <c r="AF303" s="19">
        <v>3.9653225483672547</v>
      </c>
      <c r="AG303" s="19">
        <v>13.800798810683611</v>
      </c>
      <c r="AH303" s="19">
        <v>0.32515611774159142</v>
      </c>
      <c r="AI303" s="19">
        <v>10.485829308701904</v>
      </c>
      <c r="AJ303" s="19">
        <v>14.004132665749694</v>
      </c>
      <c r="AK303" s="19">
        <v>8.1962332608695938</v>
      </c>
      <c r="AL303" s="19">
        <v>7.5976801437158912</v>
      </c>
      <c r="AM303" s="19">
        <v>4.0214797274104521</v>
      </c>
      <c r="AN303" s="19">
        <v>3.6848187375532224</v>
      </c>
      <c r="AO303" s="19">
        <v>1.4419741739063218E-3</v>
      </c>
      <c r="AP303" s="19">
        <v>4.4154882710496999</v>
      </c>
      <c r="AQ303" s="81">
        <v>5.3455383100700082</v>
      </c>
    </row>
    <row r="304" spans="1:43">
      <c r="A304" s="54">
        <v>303</v>
      </c>
      <c r="B304" s="55" t="s">
        <v>648</v>
      </c>
      <c r="C304" s="56"/>
      <c r="D304" s="57" t="s">
        <v>649</v>
      </c>
      <c r="E304" s="58" t="s">
        <v>517</v>
      </c>
      <c r="F304" s="59">
        <v>2005</v>
      </c>
      <c r="G304" s="60">
        <v>42.578470000000003</v>
      </c>
      <c r="H304" s="60">
        <v>-82.44605</v>
      </c>
      <c r="I304" s="61"/>
      <c r="J304" s="61"/>
      <c r="L304" s="62">
        <v>3.44</v>
      </c>
      <c r="M304" s="17">
        <f t="shared" si="8"/>
        <v>1</v>
      </c>
      <c r="N304" s="1">
        <v>28</v>
      </c>
      <c r="O304" s="18" t="s">
        <v>649</v>
      </c>
      <c r="P304" s="19">
        <v>2.1505596765753809</v>
      </c>
      <c r="Q304" s="20">
        <v>3.4399999999999986</v>
      </c>
      <c r="R304" s="19">
        <v>3.6138908218262542</v>
      </c>
      <c r="S304" s="19">
        <v>1.1495638837829437E-2</v>
      </c>
      <c r="T304" s="19">
        <v>3.0101954834365832</v>
      </c>
      <c r="U304" s="19">
        <v>5.855405388851044</v>
      </c>
      <c r="V304" s="19">
        <v>4.1051800886182761</v>
      </c>
      <c r="W304" s="19">
        <v>1.2926174444270048E-2</v>
      </c>
      <c r="X304" s="19">
        <v>4.409582000003641</v>
      </c>
      <c r="Y304" s="19">
        <v>12.308054559066635</v>
      </c>
      <c r="Z304" s="19">
        <v>1.8925853151926533</v>
      </c>
      <c r="AA304" s="19">
        <v>4.3729520979118295</v>
      </c>
      <c r="AB304" s="19">
        <v>15.465024272027566</v>
      </c>
      <c r="AC304" s="19">
        <v>0.72211623781865897</v>
      </c>
      <c r="AD304" s="19">
        <v>2.6352900542795812</v>
      </c>
      <c r="AE304" s="19">
        <v>3.611172380044005</v>
      </c>
      <c r="AF304" s="19">
        <v>4.2133472817334408</v>
      </c>
      <c r="AG304" s="19">
        <v>13.240493223876799</v>
      </c>
      <c r="AH304" s="19">
        <v>0.87664463477313903</v>
      </c>
      <c r="AI304" s="19">
        <v>10.060695931687555</v>
      </c>
      <c r="AJ304" s="19">
        <v>14.318472198389742</v>
      </c>
      <c r="AK304" s="19">
        <v>7.5789387130933861</v>
      </c>
      <c r="AL304" s="19">
        <v>7.4421141224192251</v>
      </c>
      <c r="AM304" s="19">
        <v>3.9001422603598166</v>
      </c>
      <c r="AN304" s="19">
        <v>3.0255604023244329</v>
      </c>
      <c r="AO304" s="19">
        <v>3.7158933705476049</v>
      </c>
      <c r="AP304" s="19">
        <v>4.0721058004804194</v>
      </c>
      <c r="AQ304" s="81">
        <v>5.8809303610768824</v>
      </c>
    </row>
    <row r="305" spans="1:43">
      <c r="A305" s="71">
        <v>304</v>
      </c>
      <c r="B305" s="72" t="s">
        <v>650</v>
      </c>
      <c r="C305" s="73"/>
      <c r="D305" s="74" t="s">
        <v>651</v>
      </c>
      <c r="E305" s="75" t="s">
        <v>652</v>
      </c>
      <c r="F305" s="76">
        <v>2004</v>
      </c>
      <c r="G305" s="77">
        <v>42.90455</v>
      </c>
      <c r="H305" s="77">
        <v>-82.467600000000004</v>
      </c>
      <c r="I305" s="78"/>
      <c r="J305" s="78"/>
      <c r="L305" s="79">
        <v>3.4361932786123601</v>
      </c>
      <c r="M305" s="17">
        <f t="shared" si="8"/>
        <v>1</v>
      </c>
      <c r="N305" s="1">
        <v>122</v>
      </c>
      <c r="O305" s="18" t="s">
        <v>651</v>
      </c>
      <c r="P305" s="19">
        <v>2.1493222230336846</v>
      </c>
      <c r="Q305" s="20">
        <v>3.4361932786123601</v>
      </c>
      <c r="R305" s="19">
        <v>0.82841352278481051</v>
      </c>
      <c r="S305" s="19">
        <v>0.87623797250382907</v>
      </c>
      <c r="T305" s="19">
        <v>0.17098083404889874</v>
      </c>
      <c r="U305" s="19">
        <v>0.70155499310911285</v>
      </c>
      <c r="V305" s="19">
        <v>0.35976560210970282</v>
      </c>
      <c r="W305" s="19">
        <v>0.30946089454733255</v>
      </c>
      <c r="X305" s="19">
        <v>1.1114759530794558</v>
      </c>
      <c r="Y305" s="19">
        <v>11.570804437724497</v>
      </c>
      <c r="Z305" s="19">
        <v>1.5553253589892455</v>
      </c>
      <c r="AA305" s="19">
        <v>4.2816982500988292</v>
      </c>
      <c r="AB305" s="19">
        <v>14.781923156234766</v>
      </c>
      <c r="AC305" s="19">
        <v>0.37295209791182909</v>
      </c>
      <c r="AD305" s="19">
        <v>1.8964656161894258</v>
      </c>
      <c r="AE305" s="19">
        <v>3.2877677779753767</v>
      </c>
      <c r="AF305" s="19">
        <v>4.2203299548795554</v>
      </c>
      <c r="AG305" s="19">
        <v>12.865539970785697</v>
      </c>
      <c r="AH305" s="19">
        <v>5.4237242050566278E-2</v>
      </c>
      <c r="AI305" s="19">
        <v>8.9815672819030148</v>
      </c>
      <c r="AJ305" s="19">
        <v>13.723980844268841</v>
      </c>
      <c r="AK305" s="19">
        <v>7.0693154945400805</v>
      </c>
      <c r="AL305" s="19">
        <v>6.8972404255747994</v>
      </c>
      <c r="AM305" s="19">
        <v>3.0579700686373301</v>
      </c>
      <c r="AN305" s="19">
        <v>2.9097731041416401</v>
      </c>
      <c r="AO305" s="19">
        <v>4.7457751494857963</v>
      </c>
      <c r="AP305" s="19">
        <v>3.8698714061777126</v>
      </c>
      <c r="AQ305" s="81">
        <v>5.3222887235708773</v>
      </c>
    </row>
    <row r="306" spans="1:43">
      <c r="A306" s="80">
        <v>305</v>
      </c>
      <c r="B306" s="72" t="s">
        <v>653</v>
      </c>
      <c r="C306" s="73"/>
      <c r="D306" s="74" t="s">
        <v>654</v>
      </c>
      <c r="E306" s="75" t="s">
        <v>652</v>
      </c>
      <c r="F306" s="76">
        <v>2004</v>
      </c>
      <c r="G306" s="77">
        <v>42.878030000000003</v>
      </c>
      <c r="H306" s="77">
        <v>-82.463269999999994</v>
      </c>
      <c r="I306" s="78"/>
      <c r="J306" s="78"/>
      <c r="L306" s="79">
        <v>1.09800962173381</v>
      </c>
      <c r="M306" s="17">
        <f t="shared" si="8"/>
        <v>1</v>
      </c>
      <c r="N306" s="1">
        <v>51</v>
      </c>
      <c r="O306" s="18" t="s">
        <v>654</v>
      </c>
      <c r="P306" s="19">
        <v>1.0690212943097572</v>
      </c>
      <c r="Q306" s="20">
        <v>1.09800962173381</v>
      </c>
      <c r="R306" s="19">
        <v>0.32478409380694934</v>
      </c>
      <c r="S306" s="19">
        <v>0.24146719734520583</v>
      </c>
      <c r="T306" s="19">
        <v>0.46011202884931007</v>
      </c>
      <c r="U306" s="19">
        <v>0.24423488123395695</v>
      </c>
      <c r="V306" s="19">
        <v>0.65054640830530974</v>
      </c>
      <c r="W306" s="19">
        <v>0.3557670558606017</v>
      </c>
      <c r="X306" s="19">
        <v>0.56912933999114323</v>
      </c>
      <c r="Y306" s="19">
        <v>11.157346935362844</v>
      </c>
      <c r="Z306" s="19">
        <v>1.6928735074639985</v>
      </c>
      <c r="AA306" s="19">
        <v>4.3998546735724311</v>
      </c>
      <c r="AB306" s="19">
        <v>15.335983446188768</v>
      </c>
      <c r="AC306" s="19">
        <v>0.30882682434788378</v>
      </c>
      <c r="AD306" s="19">
        <v>1.8883048952084871</v>
      </c>
      <c r="AE306" s="19">
        <v>3.2579157913242187</v>
      </c>
      <c r="AF306" s="19">
        <v>3.4035404177452522</v>
      </c>
      <c r="AG306" s="19">
        <v>13.0380616201336</v>
      </c>
      <c r="AH306" s="19">
        <v>2.9148942508252972E-2</v>
      </c>
      <c r="AI306" s="19">
        <v>8.419960177847889</v>
      </c>
      <c r="AJ306" s="19">
        <v>13.590002181442724</v>
      </c>
      <c r="AK306" s="19">
        <v>7.1848753429082839</v>
      </c>
      <c r="AL306" s="19">
        <v>6.9772799234999168</v>
      </c>
      <c r="AM306" s="19">
        <v>2.8391533873898211</v>
      </c>
      <c r="AN306" s="19">
        <v>2.232660756790275</v>
      </c>
      <c r="AO306" s="19">
        <v>4.8967562184748052</v>
      </c>
      <c r="AP306" s="19">
        <v>4.4255935776530588</v>
      </c>
      <c r="AQ306" s="81">
        <v>4.3284056589585669</v>
      </c>
    </row>
    <row r="307" spans="1:43">
      <c r="A307" s="71">
        <v>306</v>
      </c>
      <c r="B307" s="72" t="s">
        <v>655</v>
      </c>
      <c r="C307" s="73"/>
      <c r="D307" s="74" t="s">
        <v>656</v>
      </c>
      <c r="E307" s="75" t="s">
        <v>652</v>
      </c>
      <c r="F307" s="76">
        <v>2004</v>
      </c>
      <c r="G307" s="77">
        <v>42.97</v>
      </c>
      <c r="H307" s="77">
        <v>-82.419979999999995</v>
      </c>
      <c r="I307" s="78"/>
      <c r="J307" s="78"/>
      <c r="L307" s="79">
        <v>4.9041769041769099</v>
      </c>
      <c r="M307" s="17">
        <f t="shared" si="8"/>
        <v>1</v>
      </c>
      <c r="N307" s="1">
        <v>201</v>
      </c>
      <c r="O307" s="18" t="s">
        <v>656</v>
      </c>
      <c r="P307" s="19">
        <v>2.5617359488636207</v>
      </c>
      <c r="Q307" s="20">
        <v>4.9041769041769099</v>
      </c>
      <c r="R307" s="19">
        <v>0.2808136078825218</v>
      </c>
      <c r="S307" s="19">
        <v>0.20359103455233643</v>
      </c>
      <c r="T307" s="19">
        <v>0.39358294149939549</v>
      </c>
      <c r="U307" s="19">
        <v>0.98640563832140737</v>
      </c>
      <c r="V307" s="19">
        <v>3.4215715337912983E-2</v>
      </c>
      <c r="W307" s="19">
        <v>0.69476829731253664</v>
      </c>
      <c r="X307" s="19">
        <v>1.8209377748110567</v>
      </c>
      <c r="Y307" s="19">
        <v>13.600493707452811</v>
      </c>
      <c r="Z307" s="19">
        <v>2.6991073846240008</v>
      </c>
      <c r="AA307" s="19">
        <v>0.17491769523958806</v>
      </c>
      <c r="AB307" s="19">
        <v>15.231858670245117</v>
      </c>
      <c r="AC307" s="19">
        <v>0.48181557361786292</v>
      </c>
      <c r="AD307" s="19">
        <v>2.9452331231348987</v>
      </c>
      <c r="AE307" s="19">
        <v>4.3398500028846243</v>
      </c>
      <c r="AF307" s="19">
        <v>5.0955025176586695</v>
      </c>
      <c r="AG307" s="19">
        <v>14.165927636698486</v>
      </c>
      <c r="AH307" s="19">
        <v>8.8236597177472828E-2</v>
      </c>
      <c r="AI307" s="19">
        <v>10.954923292030321</v>
      </c>
      <c r="AJ307" s="19">
        <v>14.209986357601563</v>
      </c>
      <c r="AK307" s="19">
        <v>8.6514105259129988</v>
      </c>
      <c r="AL307" s="19">
        <v>7.3948913664425868</v>
      </c>
      <c r="AM307" s="19">
        <v>4.2380225178257209</v>
      </c>
      <c r="AN307" s="19">
        <v>3.3719769744945847</v>
      </c>
      <c r="AO307" s="19">
        <v>8.2210189651821047E-4</v>
      </c>
      <c r="AP307" s="19">
        <v>5.0552824355011898</v>
      </c>
      <c r="AQ307" s="81">
        <v>6.3132458517875616</v>
      </c>
    </row>
    <row r="308" spans="1:43">
      <c r="A308" s="80">
        <v>307</v>
      </c>
      <c r="B308" s="72" t="s">
        <v>657</v>
      </c>
      <c r="C308" s="73"/>
      <c r="D308" s="74" t="s">
        <v>658</v>
      </c>
      <c r="E308" s="75" t="s">
        <v>652</v>
      </c>
      <c r="F308" s="76">
        <v>2004</v>
      </c>
      <c r="G308" s="77">
        <v>43.005749999999999</v>
      </c>
      <c r="H308" s="77">
        <v>-82.40943</v>
      </c>
      <c r="I308" s="78"/>
      <c r="J308" s="78"/>
      <c r="L308" s="79">
        <v>0.41342143147169003</v>
      </c>
      <c r="M308" s="17">
        <f t="shared" si="8"/>
        <v>1</v>
      </c>
      <c r="N308" s="1">
        <v>2</v>
      </c>
      <c r="O308" s="18" t="s">
        <v>658</v>
      </c>
      <c r="P308" s="19">
        <v>0.49919168962360799</v>
      </c>
      <c r="Q308" s="20">
        <v>0.41342143147168997</v>
      </c>
      <c r="R308" s="19">
        <v>3.2806145083241478E-2</v>
      </c>
      <c r="S308" s="19">
        <v>2.8569152196770919E-2</v>
      </c>
      <c r="T308" s="19">
        <v>0.30040301670724745</v>
      </c>
      <c r="U308" s="19">
        <v>0.52971417029282208</v>
      </c>
      <c r="V308" s="19">
        <v>0.61107087567644236</v>
      </c>
      <c r="W308" s="19">
        <v>0.65842303370782462</v>
      </c>
      <c r="X308" s="19">
        <v>0.24161830612858559</v>
      </c>
      <c r="Y308" s="19">
        <v>10.552669097514272</v>
      </c>
      <c r="Z308" s="19">
        <v>1.6304054714823233</v>
      </c>
      <c r="AA308" s="19">
        <v>4.7441610955704103</v>
      </c>
      <c r="AB308" s="19">
        <v>15.413396539838642</v>
      </c>
      <c r="AC308" s="19">
        <v>0.52967104834778322</v>
      </c>
      <c r="AD308" s="19">
        <v>1.6304054714823233</v>
      </c>
      <c r="AE308" s="19">
        <v>2.2246577341207381</v>
      </c>
      <c r="AF308" s="19">
        <v>4.3274360397113599E-4</v>
      </c>
      <c r="AG308" s="19">
        <v>12.386131937314994</v>
      </c>
      <c r="AH308" s="19">
        <v>2.6134318847747938E-2</v>
      </c>
      <c r="AI308" s="19">
        <v>8.325530331567558</v>
      </c>
      <c r="AJ308" s="19">
        <v>13.414817344688849</v>
      </c>
      <c r="AK308" s="19">
        <v>7.145677455195635</v>
      </c>
      <c r="AL308" s="19">
        <v>6.4322913382477802</v>
      </c>
      <c r="AM308" s="19">
        <v>2.1947174628935993</v>
      </c>
      <c r="AN308" s="19">
        <v>1.417379975973023</v>
      </c>
      <c r="AO308" s="19">
        <v>5.0751047222094856</v>
      </c>
      <c r="AP308" s="19">
        <v>3.463360885816658</v>
      </c>
      <c r="AQ308" s="81">
        <v>3.9078520718459635</v>
      </c>
    </row>
    <row r="309" spans="1:43">
      <c r="A309" s="71">
        <v>308</v>
      </c>
      <c r="B309" s="72" t="s">
        <v>659</v>
      </c>
      <c r="C309" s="73"/>
      <c r="D309" s="74" t="s">
        <v>660</v>
      </c>
      <c r="E309" s="75" t="s">
        <v>652</v>
      </c>
      <c r="F309" s="76">
        <v>2004</v>
      </c>
      <c r="G309" s="77">
        <v>42.947580000000002</v>
      </c>
      <c r="H309" s="77">
        <v>-82.429550000000006</v>
      </c>
      <c r="I309" s="78"/>
      <c r="J309" s="78"/>
      <c r="L309" s="79">
        <v>1.1902674692692901</v>
      </c>
      <c r="M309" s="17">
        <f t="shared" si="8"/>
        <v>1</v>
      </c>
      <c r="N309" s="1">
        <v>11</v>
      </c>
      <c r="O309" s="18" t="s">
        <v>660</v>
      </c>
      <c r="P309" s="19">
        <v>1.1311070584229588</v>
      </c>
      <c r="Q309" s="20">
        <v>1.1902674692692901</v>
      </c>
      <c r="R309" s="19">
        <v>2.6524520178715512</v>
      </c>
      <c r="S309" s="19">
        <v>0.58134519442489485</v>
      </c>
      <c r="T309" s="19">
        <v>4.4946238545001629</v>
      </c>
      <c r="U309" s="19">
        <v>9.2979053985458187</v>
      </c>
      <c r="V309" s="19">
        <v>3.7332765861213835</v>
      </c>
      <c r="W309" s="19">
        <v>0.31453567461436432</v>
      </c>
      <c r="X309" s="19">
        <v>1.8350880495991375</v>
      </c>
      <c r="Y309" s="19">
        <v>12.133142212400601</v>
      </c>
      <c r="Z309" s="19">
        <v>2.0196316863254252E-4</v>
      </c>
      <c r="AA309" s="19">
        <v>1.6521422721366639</v>
      </c>
      <c r="AB309" s="19">
        <v>15.017199892815192</v>
      </c>
      <c r="AC309" s="19">
        <v>0.27738969881086384</v>
      </c>
      <c r="AD309" s="19">
        <v>2.4851691800509057</v>
      </c>
      <c r="AE309" s="19">
        <v>3.1148667172877316</v>
      </c>
      <c r="AF309" s="19">
        <v>0.66211433120966146</v>
      </c>
      <c r="AG309" s="19">
        <v>15.078526113197377</v>
      </c>
      <c r="AH309" s="19">
        <v>0.30053377249536789</v>
      </c>
      <c r="AI309" s="19">
        <v>9.1173833669314828</v>
      </c>
      <c r="AJ309" s="19">
        <v>13.355488751597942</v>
      </c>
      <c r="AK309" s="19">
        <v>6.9943534368588578</v>
      </c>
      <c r="AL309" s="19">
        <v>7.3264294871223035</v>
      </c>
      <c r="AM309" s="19">
        <v>3.4969735809982763</v>
      </c>
      <c r="AN309" s="19">
        <v>2.5736168943660256</v>
      </c>
      <c r="AO309" s="19">
        <v>7.067474310525053E-4</v>
      </c>
      <c r="AP309" s="19">
        <v>3.5521311082537839</v>
      </c>
      <c r="AQ309" s="81">
        <v>5.0214797274104521</v>
      </c>
    </row>
    <row r="310" spans="1:43">
      <c r="A310" s="80">
        <v>309</v>
      </c>
      <c r="B310" s="72" t="s">
        <v>661</v>
      </c>
      <c r="C310" s="73"/>
      <c r="D310" s="74" t="s">
        <v>662</v>
      </c>
      <c r="E310" s="75" t="s">
        <v>652</v>
      </c>
      <c r="F310" s="76">
        <v>2004</v>
      </c>
      <c r="G310" s="77">
        <v>42.91733</v>
      </c>
      <c r="H310" s="77">
        <v>-82.454949999999997</v>
      </c>
      <c r="I310" s="78"/>
      <c r="J310" s="78"/>
      <c r="L310" s="79">
        <v>1.4626788655804099</v>
      </c>
      <c r="M310" s="17">
        <f t="shared" si="8"/>
        <v>1</v>
      </c>
      <c r="N310" s="1">
        <v>18</v>
      </c>
      <c r="O310" s="18" t="s">
        <v>662</v>
      </c>
      <c r="P310" s="19">
        <v>1.3002285120266879</v>
      </c>
      <c r="Q310" s="20">
        <v>1.4626788655804104</v>
      </c>
      <c r="R310" s="19">
        <v>1.6778067254028264</v>
      </c>
      <c r="S310" s="19">
        <v>0.22643051009847517</v>
      </c>
      <c r="T310" s="19">
        <v>2.1869640704893225</v>
      </c>
      <c r="U310" s="19">
        <v>4.7341529795142314</v>
      </c>
      <c r="V310" s="19">
        <v>2.882508533121365E-3</v>
      </c>
      <c r="W310" s="19">
        <v>0.29742473225353083</v>
      </c>
      <c r="X310" s="19">
        <v>2.6561588761087447</v>
      </c>
      <c r="Y310" s="19">
        <v>11.381002109550925</v>
      </c>
      <c r="Z310" s="19">
        <v>1.6726516293283848</v>
      </c>
      <c r="AA310" s="19">
        <v>5.0351839966183363</v>
      </c>
      <c r="AB310" s="19">
        <v>15.292788937382774</v>
      </c>
      <c r="AC310" s="19">
        <v>0.61739252769214847</v>
      </c>
      <c r="AD310" s="19">
        <v>1.9967502788491844</v>
      </c>
      <c r="AE310" s="19">
        <v>2.7381192887825767</v>
      </c>
      <c r="AF310" s="19">
        <v>2.3385670370011513</v>
      </c>
      <c r="AG310" s="19">
        <v>12.874020767658976</v>
      </c>
      <c r="AH310" s="19">
        <v>1.2159891541467205</v>
      </c>
      <c r="AI310" s="19">
        <v>9.3280016621492567</v>
      </c>
      <c r="AJ310" s="19">
        <v>13.743046176226672</v>
      </c>
      <c r="AK310" s="19">
        <v>7.146695948030656</v>
      </c>
      <c r="AL310" s="19">
        <v>6.6808869207196917</v>
      </c>
      <c r="AM310" s="19">
        <v>2.7491051495694623</v>
      </c>
      <c r="AN310" s="19">
        <v>1.9949417101769711</v>
      </c>
      <c r="AO310" s="19">
        <v>5.522620761042079</v>
      </c>
      <c r="AP310" s="19">
        <v>3.7376867614098601</v>
      </c>
      <c r="AQ310" s="81">
        <v>4.9541963103868749</v>
      </c>
    </row>
    <row r="311" spans="1:43">
      <c r="A311" s="71">
        <v>310</v>
      </c>
      <c r="B311" s="72" t="s">
        <v>663</v>
      </c>
      <c r="C311" s="73"/>
      <c r="D311" s="74" t="s">
        <v>664</v>
      </c>
      <c r="E311" s="75" t="s">
        <v>652</v>
      </c>
      <c r="F311" s="76">
        <v>2004</v>
      </c>
      <c r="G311" s="77">
        <v>42.871470000000002</v>
      </c>
      <c r="H311" s="77">
        <v>-82.461529999999996</v>
      </c>
      <c r="I311" s="78"/>
      <c r="J311" s="78"/>
      <c r="L311" s="79">
        <v>2.7615517475596199</v>
      </c>
      <c r="M311" s="17">
        <f t="shared" si="8"/>
        <v>1</v>
      </c>
      <c r="N311" s="1">
        <v>99</v>
      </c>
      <c r="O311" s="18" t="s">
        <v>664</v>
      </c>
      <c r="P311" s="19">
        <v>1.9113279376161889</v>
      </c>
      <c r="Q311" s="20">
        <v>2.7615517475596194</v>
      </c>
      <c r="R311" s="19">
        <v>2.535640516920441</v>
      </c>
      <c r="S311" s="19">
        <v>0.18318082302576094</v>
      </c>
      <c r="T311" s="19">
        <v>2.2461646679392184</v>
      </c>
      <c r="U311" s="19">
        <v>5.8361416869082063</v>
      </c>
      <c r="V311" s="19">
        <v>1.4355292977070054E-2</v>
      </c>
      <c r="W311" s="19">
        <v>0.33085280572198084</v>
      </c>
      <c r="X311" s="19">
        <v>2.3449038808468239</v>
      </c>
      <c r="Y311" s="19">
        <v>12.712527000439824</v>
      </c>
      <c r="Z311" s="19">
        <v>2.4054478437075351</v>
      </c>
      <c r="AA311" s="19">
        <v>4.8318772411916733</v>
      </c>
      <c r="AB311" s="19">
        <v>15.423936583821853</v>
      </c>
      <c r="AC311" s="19">
        <v>1.0172092900322232</v>
      </c>
      <c r="AD311" s="19">
        <v>2.8139350704813171</v>
      </c>
      <c r="AE311" s="19">
        <v>3.6461626571578938</v>
      </c>
      <c r="AF311" s="19">
        <v>3.8559896973084808</v>
      </c>
      <c r="AG311" s="19">
        <v>13.541217641736147</v>
      </c>
      <c r="AH311" s="19">
        <v>1.8777442499490022</v>
      </c>
      <c r="AI311" s="19">
        <v>10.82097669262124</v>
      </c>
      <c r="AJ311" s="19">
        <v>14.105008179750074</v>
      </c>
      <c r="AK311" s="19">
        <v>7.6703021700785259</v>
      </c>
      <c r="AL311" s="19">
        <v>7.2026136201484867</v>
      </c>
      <c r="AM311" s="19">
        <v>4.1168637576908989</v>
      </c>
      <c r="AN311" s="19">
        <v>4.0900065299038175</v>
      </c>
      <c r="AO311" s="19">
        <v>4.3161457422933562</v>
      </c>
      <c r="AP311" s="19">
        <v>4.500802053057158</v>
      </c>
      <c r="AQ311" s="81">
        <v>6.1713269402333051</v>
      </c>
    </row>
    <row r="312" spans="1:43">
      <c r="A312" s="80">
        <v>311</v>
      </c>
      <c r="B312" s="72" t="s">
        <v>665</v>
      </c>
      <c r="C312" s="73"/>
      <c r="D312" s="74" t="s">
        <v>666</v>
      </c>
      <c r="E312" s="75" t="s">
        <v>652</v>
      </c>
      <c r="F312" s="76">
        <v>2004</v>
      </c>
      <c r="G312" s="77">
        <v>42.95243</v>
      </c>
      <c r="H312" s="77">
        <v>-82.432479999999998</v>
      </c>
      <c r="I312" s="78"/>
      <c r="J312" s="78"/>
      <c r="L312" s="79">
        <v>1.0043335131214199</v>
      </c>
      <c r="M312" s="17">
        <f t="shared" si="8"/>
        <v>1</v>
      </c>
      <c r="N312" s="1">
        <v>47</v>
      </c>
      <c r="O312" s="18" t="s">
        <v>666</v>
      </c>
      <c r="P312" s="19">
        <v>1.0031225872221223</v>
      </c>
      <c r="Q312" s="20">
        <v>1.0043335131214199</v>
      </c>
      <c r="R312" s="19">
        <v>1.5782997240927459E-2</v>
      </c>
      <c r="S312" s="19">
        <v>2.1479727410451392E-2</v>
      </c>
      <c r="T312" s="19">
        <v>0.22633113379141059</v>
      </c>
      <c r="U312" s="19">
        <v>0.167842020027725</v>
      </c>
      <c r="V312" s="19">
        <v>4.2644337408493722E-2</v>
      </c>
      <c r="W312" s="19">
        <v>0.28821316622408133</v>
      </c>
      <c r="X312" s="19">
        <v>1.2888570234950374</v>
      </c>
      <c r="Y312" s="19">
        <v>11.472183116189541</v>
      </c>
      <c r="Z312" s="19">
        <v>3.6062868351496158E-4</v>
      </c>
      <c r="AA312" s="19">
        <v>4.7975318395719624</v>
      </c>
      <c r="AB312" s="19">
        <v>14.698650412777864</v>
      </c>
      <c r="AC312" s="19">
        <v>0.46131900249075414</v>
      </c>
      <c r="AD312" s="19">
        <v>1.9730601728040842</v>
      </c>
      <c r="AE312" s="19">
        <v>2.8507994231254834</v>
      </c>
      <c r="AF312" s="19">
        <v>2.7255230455290276</v>
      </c>
      <c r="AG312" s="19">
        <v>12.638888382252262</v>
      </c>
      <c r="AH312" s="19">
        <v>5.0104618703968005E-2</v>
      </c>
      <c r="AI312" s="19">
        <v>9.028734893484895</v>
      </c>
      <c r="AJ312" s="19">
        <v>13.565221107694228</v>
      </c>
      <c r="AK312" s="19">
        <v>6.984133594540979</v>
      </c>
      <c r="AL312" s="19">
        <v>6.5771266613070516</v>
      </c>
      <c r="AM312" s="19">
        <v>2.5372960670908418</v>
      </c>
      <c r="AN312" s="19">
        <v>2.5395310714741504</v>
      </c>
      <c r="AO312" s="19">
        <v>5.2883585621936602</v>
      </c>
      <c r="AP312" s="19">
        <v>3.7570232465074596</v>
      </c>
      <c r="AQ312" s="81">
        <v>4.8841094513592296</v>
      </c>
    </row>
    <row r="313" spans="1:43">
      <c r="A313" s="71">
        <v>312</v>
      </c>
      <c r="B313" s="72" t="s">
        <v>667</v>
      </c>
      <c r="C313" s="73"/>
      <c r="D313" s="74" t="s">
        <v>668</v>
      </c>
      <c r="E313" s="75" t="s">
        <v>652</v>
      </c>
      <c r="F313" s="76">
        <v>2004</v>
      </c>
      <c r="G313" s="77">
        <v>42.940600000000003</v>
      </c>
      <c r="H313" s="77">
        <v>-82.448980000000006</v>
      </c>
      <c r="I313" s="78"/>
      <c r="J313" s="78"/>
      <c r="L313" s="79">
        <v>0.77092511013216802</v>
      </c>
      <c r="M313" s="17">
        <f t="shared" si="8"/>
        <v>1</v>
      </c>
      <c r="N313" s="1">
        <v>88</v>
      </c>
      <c r="O313" s="18" t="s">
        <v>668</v>
      </c>
      <c r="P313" s="19">
        <v>0.82450320388802123</v>
      </c>
      <c r="Q313" s="20">
        <v>0.77092511013216791</v>
      </c>
      <c r="R313" s="19">
        <v>0.23485876686394494</v>
      </c>
      <c r="S313" s="19">
        <v>0.2482029316771798</v>
      </c>
      <c r="T313" s="19">
        <v>0.4090782883716933</v>
      </c>
      <c r="U313" s="19">
        <v>0.98684554137560754</v>
      </c>
      <c r="V313" s="19">
        <v>0.7498460501426315</v>
      </c>
      <c r="W313" s="19">
        <v>0.42559425343057161</v>
      </c>
      <c r="X313" s="19">
        <v>1.9080780375954294</v>
      </c>
      <c r="Y313" s="19">
        <v>11.536247215688128</v>
      </c>
      <c r="Z313" s="19">
        <v>1.2636354035683293</v>
      </c>
      <c r="AA313" s="19">
        <v>4.3037807481771031</v>
      </c>
      <c r="AB313" s="19">
        <v>14.697021843549136</v>
      </c>
      <c r="AC313" s="19">
        <v>0.45575462218619017</v>
      </c>
      <c r="AD313" s="19">
        <v>1.9541963103868751</v>
      </c>
      <c r="AE313" s="19">
        <v>3.0969364825029575</v>
      </c>
      <c r="AF313" s="19">
        <v>3.7708290460324903</v>
      </c>
      <c r="AG313" s="19">
        <v>13.015589280397393</v>
      </c>
      <c r="AH313" s="19">
        <v>5.241589415113853E-2</v>
      </c>
      <c r="AI313" s="19">
        <v>9.0898476806891644</v>
      </c>
      <c r="AJ313" s="19">
        <v>13.479401355283418</v>
      </c>
      <c r="AK313" s="19">
        <v>7.1375035237499347</v>
      </c>
      <c r="AL313" s="19">
        <v>6.5390036742681712</v>
      </c>
      <c r="AM313" s="19">
        <v>2.6848187375532224</v>
      </c>
      <c r="AN313" s="19">
        <v>2.801779481624711</v>
      </c>
      <c r="AO313" s="19">
        <v>3.8865501473243431</v>
      </c>
      <c r="AP313" s="19">
        <v>4.0268000593437154</v>
      </c>
      <c r="AQ313" s="81">
        <v>4.9569859246125763</v>
      </c>
    </row>
    <row r="314" spans="1:43">
      <c r="A314" s="80">
        <v>313</v>
      </c>
      <c r="B314" s="72" t="s">
        <v>669</v>
      </c>
      <c r="C314" s="73"/>
      <c r="D314" s="74" t="s">
        <v>670</v>
      </c>
      <c r="E314" s="75" t="s">
        <v>652</v>
      </c>
      <c r="F314" s="76">
        <v>2004</v>
      </c>
      <c r="G314" s="77">
        <v>42.913849999999996</v>
      </c>
      <c r="H314" s="77">
        <v>-82.463130000000007</v>
      </c>
      <c r="I314" s="78"/>
      <c r="J314" s="78"/>
      <c r="L314" s="79">
        <v>1.0869356110886601</v>
      </c>
      <c r="M314" s="17">
        <f t="shared" si="8"/>
        <v>1</v>
      </c>
      <c r="N314" s="1">
        <v>101</v>
      </c>
      <c r="O314" s="18" t="s">
        <v>670</v>
      </c>
      <c r="P314" s="19">
        <v>1.061386089239434</v>
      </c>
      <c r="Q314" s="20">
        <v>1.0869356110886601</v>
      </c>
      <c r="R314" s="19">
        <v>0.63653030026457325</v>
      </c>
      <c r="S314" s="19">
        <v>0.28190570173063467</v>
      </c>
      <c r="T314" s="19">
        <v>0.23020134421733038</v>
      </c>
      <c r="U314" s="19">
        <v>0.7533869546276537</v>
      </c>
      <c r="V314" s="19">
        <v>0.29202373154922734</v>
      </c>
      <c r="W314" s="19">
        <v>1.185481103896693</v>
      </c>
      <c r="X314" s="19">
        <v>2.4720380016383317</v>
      </c>
      <c r="Y314" s="19">
        <v>11.413098984915264</v>
      </c>
      <c r="Z314" s="19">
        <v>1.2491419032803475</v>
      </c>
      <c r="AA314" s="19">
        <v>4.5515160176280141</v>
      </c>
      <c r="AB314" s="19">
        <v>14.102549877938259</v>
      </c>
      <c r="AC314" s="19">
        <v>0.52105073690096315</v>
      </c>
      <c r="AD314" s="19">
        <v>1.9271379389685042</v>
      </c>
      <c r="AE314" s="19">
        <v>2.6986629998858844</v>
      </c>
      <c r="AF314" s="19">
        <v>2.9407305601848623</v>
      </c>
      <c r="AG314" s="19">
        <v>12.588480412829758</v>
      </c>
      <c r="AH314" s="19">
        <v>7.1803849351022589E-2</v>
      </c>
      <c r="AI314" s="19">
        <v>8.9404604288636556</v>
      </c>
      <c r="AJ314" s="19">
        <v>13.019069429331111</v>
      </c>
      <c r="AK314" s="19">
        <v>6.4615613000018959</v>
      </c>
      <c r="AL314" s="19">
        <v>6.1994760464428529</v>
      </c>
      <c r="AM314" s="19">
        <v>2.6906405786156933</v>
      </c>
      <c r="AN314" s="19">
        <v>2.5434958834257717</v>
      </c>
      <c r="AO314" s="19">
        <v>5.1485274251604638</v>
      </c>
      <c r="AP314" s="19">
        <v>3.6299394094395399</v>
      </c>
      <c r="AQ314" s="81">
        <v>5.0325416972700392</v>
      </c>
    </row>
    <row r="315" spans="1:43">
      <c r="A315" s="71">
        <v>314</v>
      </c>
      <c r="B315" s="72" t="s">
        <v>671</v>
      </c>
      <c r="C315" s="73"/>
      <c r="D315" s="74" t="s">
        <v>672</v>
      </c>
      <c r="E315" s="75" t="s">
        <v>652</v>
      </c>
      <c r="F315" s="76">
        <v>2004</v>
      </c>
      <c r="G315" s="77">
        <v>42.841470000000001</v>
      </c>
      <c r="H315" s="77">
        <v>-82.467169999999996</v>
      </c>
      <c r="I315" s="78"/>
      <c r="J315" s="78"/>
      <c r="L315" s="79">
        <v>1.0130218307162</v>
      </c>
      <c r="M315" s="17">
        <f t="shared" si="8"/>
        <v>1</v>
      </c>
      <c r="N315" s="1">
        <v>43</v>
      </c>
      <c r="O315" s="18" t="s">
        <v>672</v>
      </c>
      <c r="P315" s="19">
        <v>1.0093628180094871</v>
      </c>
      <c r="Q315" s="20">
        <v>1.0130218307162</v>
      </c>
      <c r="R315" s="19">
        <v>0.82918728694450039</v>
      </c>
      <c r="S315" s="19">
        <v>0.34046973571504385</v>
      </c>
      <c r="T315" s="19">
        <v>0.8593888741439627</v>
      </c>
      <c r="U315" s="19">
        <v>2.4460963285775064</v>
      </c>
      <c r="V315" s="19">
        <v>0.69503667706193573</v>
      </c>
      <c r="W315" s="19">
        <v>0.1698575950320898</v>
      </c>
      <c r="X315" s="19">
        <v>1.782199696780064</v>
      </c>
      <c r="Y315" s="19">
        <v>11.394462694610317</v>
      </c>
      <c r="Z315" s="19">
        <v>1.6516831806321093</v>
      </c>
      <c r="AA315" s="19">
        <v>4.7628802929169991</v>
      </c>
      <c r="AB315" s="19">
        <v>14.317059245883785</v>
      </c>
      <c r="AC315" s="19">
        <v>0.51096191927737933</v>
      </c>
      <c r="AD315" s="19">
        <v>2.0186341741390508</v>
      </c>
      <c r="AE315" s="19">
        <v>2.5966966606872282</v>
      </c>
      <c r="AF315" s="19">
        <v>2.3190398155625358</v>
      </c>
      <c r="AG315" s="19">
        <v>12.391243589427443</v>
      </c>
      <c r="AH315" s="19">
        <v>1.0093471722592526</v>
      </c>
      <c r="AI315" s="19">
        <v>9.3248555969504316</v>
      </c>
      <c r="AJ315" s="19">
        <v>13.12686576693927</v>
      </c>
      <c r="AK315" s="19">
        <v>6.6766623348579666</v>
      </c>
      <c r="AL315" s="19">
        <v>6.2334279437484703</v>
      </c>
      <c r="AM315" s="19">
        <v>2.7676547982373467</v>
      </c>
      <c r="AN315" s="19">
        <v>3.2156785966079284</v>
      </c>
      <c r="AO315" s="19">
        <v>5.1489341045263393</v>
      </c>
      <c r="AP315" s="19">
        <v>3.5668151540108965</v>
      </c>
      <c r="AQ315" s="81">
        <v>4.7436226760676545</v>
      </c>
    </row>
    <row r="316" spans="1:43">
      <c r="A316" s="80">
        <v>315</v>
      </c>
      <c r="B316" s="72" t="s">
        <v>673</v>
      </c>
      <c r="C316" s="73"/>
      <c r="D316" s="74" t="s">
        <v>674</v>
      </c>
      <c r="E316" s="75" t="s">
        <v>652</v>
      </c>
      <c r="F316" s="76">
        <v>2004</v>
      </c>
      <c r="G316" s="77">
        <v>42.826250000000002</v>
      </c>
      <c r="H316" s="77">
        <v>-82.472300000000004</v>
      </c>
      <c r="I316" s="78"/>
      <c r="J316" s="78"/>
      <c r="L316" s="79">
        <v>1.5054964095258201</v>
      </c>
      <c r="M316" s="17">
        <f t="shared" si="8"/>
        <v>1</v>
      </c>
      <c r="N316" s="1">
        <v>21</v>
      </c>
      <c r="O316" s="18" t="s">
        <v>674</v>
      </c>
      <c r="P316" s="19">
        <v>1.3250964703306496</v>
      </c>
      <c r="Q316" s="20">
        <v>1.5054964095258203</v>
      </c>
      <c r="R316" s="19">
        <v>1.1897649511856971</v>
      </c>
      <c r="S316" s="19">
        <v>0.9196157251229764</v>
      </c>
      <c r="T316" s="19">
        <v>1.8438077983091694</v>
      </c>
      <c r="U316" s="19">
        <v>5.5478715475386027</v>
      </c>
      <c r="V316" s="19">
        <v>1.6476051976739301</v>
      </c>
      <c r="W316" s="19">
        <v>0.3394369139782335</v>
      </c>
      <c r="X316" s="19">
        <v>2.6864771299010899</v>
      </c>
      <c r="Y316" s="19">
        <v>11.763627351727628</v>
      </c>
      <c r="Z316" s="19">
        <v>6.9232747432241518E-4</v>
      </c>
      <c r="AA316" s="19">
        <v>5.018367115543116</v>
      </c>
      <c r="AB316" s="19">
        <v>15.173716169732106</v>
      </c>
      <c r="AC316" s="19">
        <v>0.6384909417104554</v>
      </c>
      <c r="AD316" s="19">
        <v>2.0823619695574735</v>
      </c>
      <c r="AE316" s="19">
        <v>2.9040023162836919</v>
      </c>
      <c r="AF316" s="19">
        <v>2.2088293625738546</v>
      </c>
      <c r="AG316" s="19">
        <v>12.908017261062803</v>
      </c>
      <c r="AH316" s="19">
        <v>0.89940768072483646</v>
      </c>
      <c r="AI316" s="19">
        <v>9.7992816215219225</v>
      </c>
      <c r="AJ316" s="19">
        <v>13.694901951428559</v>
      </c>
      <c r="AK316" s="19">
        <v>7.3557915467536468</v>
      </c>
      <c r="AL316" s="19">
        <v>6.8290884440048858</v>
      </c>
      <c r="AM316" s="19">
        <v>2.9662458732249397</v>
      </c>
      <c r="AN316" s="19">
        <v>2.4206171389786908</v>
      </c>
      <c r="AO316" s="19">
        <v>5.535430914871279</v>
      </c>
      <c r="AP316" s="19">
        <v>4.0686708106650986</v>
      </c>
      <c r="AQ316" s="81">
        <v>5.0470148195175888</v>
      </c>
    </row>
    <row r="317" spans="1:43">
      <c r="A317" s="71">
        <v>316</v>
      </c>
      <c r="B317" s="72" t="s">
        <v>675</v>
      </c>
      <c r="C317" s="73"/>
      <c r="D317" s="74" t="s">
        <v>676</v>
      </c>
      <c r="E317" s="75" t="s">
        <v>652</v>
      </c>
      <c r="F317" s="76">
        <v>2004</v>
      </c>
      <c r="G317" s="77">
        <v>42.745150000000002</v>
      </c>
      <c r="H317" s="77">
        <v>-82.472369999999998</v>
      </c>
      <c r="I317" s="78"/>
      <c r="J317" s="78"/>
      <c r="L317" s="79">
        <v>1.0819735819735901</v>
      </c>
      <c r="M317" s="17">
        <f t="shared" si="8"/>
        <v>1</v>
      </c>
      <c r="N317" s="1">
        <v>89</v>
      </c>
      <c r="O317" s="18" t="s">
        <v>676</v>
      </c>
      <c r="P317" s="19">
        <v>1.0579517624905967</v>
      </c>
      <c r="Q317" s="20">
        <v>1.0819735819735898</v>
      </c>
      <c r="R317" s="19">
        <v>0.79063381484153372</v>
      </c>
      <c r="S317" s="19">
        <v>0.4026866923086907</v>
      </c>
      <c r="T317" s="19">
        <v>0.836269037240851</v>
      </c>
      <c r="U317" s="19">
        <v>2.5295153338169709</v>
      </c>
      <c r="V317" s="19">
        <v>0.72384629628237307</v>
      </c>
      <c r="W317" s="19">
        <v>0.94196185847111924</v>
      </c>
      <c r="X317" s="19">
        <v>4.8171495820684003</v>
      </c>
      <c r="Y317" s="19">
        <v>12.547858506058416</v>
      </c>
      <c r="Z317" s="19">
        <v>1.2732174731034955</v>
      </c>
      <c r="AA317" s="19">
        <v>4.8659188145522121</v>
      </c>
      <c r="AB317" s="19">
        <v>14.935303196881053</v>
      </c>
      <c r="AC317" s="19">
        <v>0.43049938622259198</v>
      </c>
      <c r="AD317" s="19">
        <v>2.7456676020526789</v>
      </c>
      <c r="AE317" s="19">
        <v>3.812498225333564</v>
      </c>
      <c r="AF317" s="19">
        <v>1.3912178076028974</v>
      </c>
      <c r="AG317" s="19">
        <v>13.752485185884188</v>
      </c>
      <c r="AH317" s="19">
        <v>5.8704395046245542E-2</v>
      </c>
      <c r="AI317" s="19">
        <v>10.400879436282183</v>
      </c>
      <c r="AJ317" s="19">
        <v>13.430583224646092</v>
      </c>
      <c r="AK317" s="19">
        <v>7.6110247973073522</v>
      </c>
      <c r="AL317" s="19">
        <v>7.0033773602023199</v>
      </c>
      <c r="AM317" s="19">
        <v>3.5704629310260412</v>
      </c>
      <c r="AN317" s="19">
        <v>2.0734775096789684</v>
      </c>
      <c r="AO317" s="19">
        <v>4.4561490346479955</v>
      </c>
      <c r="AP317" s="19">
        <v>4.5197934862411007</v>
      </c>
      <c r="AQ317" s="81">
        <v>4.7660650514749543</v>
      </c>
    </row>
    <row r="318" spans="1:43">
      <c r="A318" s="80">
        <v>317</v>
      </c>
      <c r="B318" s="72" t="s">
        <v>677</v>
      </c>
      <c r="C318" s="73"/>
      <c r="D318" s="74" t="s">
        <v>678</v>
      </c>
      <c r="E318" s="75" t="s">
        <v>652</v>
      </c>
      <c r="F318" s="76">
        <v>2004</v>
      </c>
      <c r="G318" s="77">
        <v>42.691899999999997</v>
      </c>
      <c r="H318" s="77">
        <v>-82.493880000000004</v>
      </c>
      <c r="I318" s="78"/>
      <c r="J318" s="78"/>
      <c r="L318" s="79">
        <v>1.1890606420927601</v>
      </c>
      <c r="M318" s="17">
        <f t="shared" si="8"/>
        <v>1</v>
      </c>
      <c r="N318" s="1">
        <v>45</v>
      </c>
      <c r="O318" s="18" t="s">
        <v>678</v>
      </c>
      <c r="P318" s="19">
        <v>1.130311921094771</v>
      </c>
      <c r="Q318" s="20">
        <v>1.1890606420927599</v>
      </c>
      <c r="R318" s="19">
        <v>0.41324988314033012</v>
      </c>
      <c r="S318" s="19">
        <v>0.90501669347671487</v>
      </c>
      <c r="T318" s="19">
        <v>0.34477013875981555</v>
      </c>
      <c r="U318" s="19">
        <v>1.6688369762853439</v>
      </c>
      <c r="V318" s="19">
        <v>0.34963005077036302</v>
      </c>
      <c r="W318" s="19">
        <v>0.15751662553640061</v>
      </c>
      <c r="X318" s="19">
        <v>1.2982491227979753</v>
      </c>
      <c r="Y318" s="19">
        <v>12.086799685623452</v>
      </c>
      <c r="Z318" s="19">
        <v>7.5000643648463696E-4</v>
      </c>
      <c r="AA318" s="19">
        <v>5.0656584709319912</v>
      </c>
      <c r="AB318" s="19">
        <v>15.367721878265787</v>
      </c>
      <c r="AC318" s="19">
        <v>0.62405409111010057</v>
      </c>
      <c r="AD318" s="19">
        <v>2.2995377395727821</v>
      </c>
      <c r="AE318" s="19">
        <v>3.1101961777541995</v>
      </c>
      <c r="AF318" s="19">
        <v>2.6165929509786041</v>
      </c>
      <c r="AG318" s="19">
        <v>13.025485656808389</v>
      </c>
      <c r="AH318" s="19">
        <v>0.32365829102624488</v>
      </c>
      <c r="AI318" s="19">
        <v>10.166163082646113</v>
      </c>
      <c r="AJ318" s="19">
        <v>14.003254366050772</v>
      </c>
      <c r="AK318" s="19">
        <v>7.4577912602560419</v>
      </c>
      <c r="AL318" s="19">
        <v>7.1199786096548765</v>
      </c>
      <c r="AM318" s="19">
        <v>3.1951900902658492</v>
      </c>
      <c r="AN318" s="19">
        <v>2.0482361856528475</v>
      </c>
      <c r="AO318" s="19">
        <v>5.6647672553564146</v>
      </c>
      <c r="AP318" s="19">
        <v>4.0408924306469007</v>
      </c>
      <c r="AQ318" s="81">
        <v>5.1309308698264484</v>
      </c>
    </row>
    <row r="319" spans="1:43">
      <c r="A319" s="71">
        <v>318</v>
      </c>
      <c r="B319" s="72" t="s">
        <v>679</v>
      </c>
      <c r="C319" s="73"/>
      <c r="D319" s="74" t="s">
        <v>680</v>
      </c>
      <c r="E319" s="75" t="s">
        <v>652</v>
      </c>
      <c r="F319" s="76">
        <v>2004</v>
      </c>
      <c r="G319" s="77">
        <v>42.665730000000003</v>
      </c>
      <c r="H319" s="77">
        <v>-82.506529999999998</v>
      </c>
      <c r="I319" s="78"/>
      <c r="J319" s="78"/>
      <c r="L319" s="79">
        <v>3.2356366459627401</v>
      </c>
      <c r="M319" s="17">
        <f t="shared" si="8"/>
        <v>1</v>
      </c>
      <c r="N319" s="1">
        <v>105</v>
      </c>
      <c r="O319" s="18" t="s">
        <v>680</v>
      </c>
      <c r="P319" s="19">
        <v>2.0825788330621586</v>
      </c>
      <c r="Q319" s="20">
        <v>3.2356366459627397</v>
      </c>
      <c r="R319" s="19">
        <v>0.37473042036234583</v>
      </c>
      <c r="S319" s="19">
        <v>0.4153177795752111</v>
      </c>
      <c r="T319" s="19">
        <v>0.56040143127921704</v>
      </c>
      <c r="U319" s="19">
        <v>2.1662286195406293</v>
      </c>
      <c r="V319" s="19">
        <v>3.8436181656107918E-2</v>
      </c>
      <c r="W319" s="19">
        <v>2.9982866215714315E-2</v>
      </c>
      <c r="X319" s="19">
        <v>2.8224084510799856</v>
      </c>
      <c r="Y319" s="19">
        <v>12.253256579781153</v>
      </c>
      <c r="Z319" s="19">
        <v>1.952706307630224</v>
      </c>
      <c r="AA319" s="19">
        <v>4.718087583960517</v>
      </c>
      <c r="AB319" s="19">
        <v>15.33074185111586</v>
      </c>
      <c r="AC319" s="19">
        <v>0.78224079993609297</v>
      </c>
      <c r="AD319" s="19">
        <v>2.6222275685530008</v>
      </c>
      <c r="AE319" s="19">
        <v>3.2558028366027179</v>
      </c>
      <c r="AF319" s="19">
        <v>3.4572002743636148</v>
      </c>
      <c r="AG319" s="19">
        <v>13.435800462194786</v>
      </c>
      <c r="AH319" s="19">
        <v>0.50487458939846441</v>
      </c>
      <c r="AI319" s="19">
        <v>10.219168520462162</v>
      </c>
      <c r="AJ319" s="19">
        <v>14.00676436119103</v>
      </c>
      <c r="AK319" s="19">
        <v>7.7333543406138272</v>
      </c>
      <c r="AL319" s="19">
        <v>6.9565213633331195</v>
      </c>
      <c r="AM319" s="19">
        <v>3.7729413378313352</v>
      </c>
      <c r="AN319" s="19">
        <v>2.3631710771192438</v>
      </c>
      <c r="AO319" s="19">
        <v>4.1826922975161906</v>
      </c>
      <c r="AP319" s="19">
        <v>4.177917792195843</v>
      </c>
      <c r="AQ319" s="81">
        <v>5.5783349486816078</v>
      </c>
    </row>
    <row r="320" spans="1:43">
      <c r="A320" s="80">
        <v>319</v>
      </c>
      <c r="B320" s="72" t="s">
        <v>681</v>
      </c>
      <c r="C320" s="73"/>
      <c r="D320" s="74" t="s">
        <v>682</v>
      </c>
      <c r="E320" s="75" t="s">
        <v>652</v>
      </c>
      <c r="F320" s="76">
        <v>2004</v>
      </c>
      <c r="G320" s="77">
        <v>42.862000000000002</v>
      </c>
      <c r="H320" s="77">
        <v>-82.473550000000003</v>
      </c>
      <c r="I320" s="78"/>
      <c r="J320" s="78"/>
      <c r="L320" s="79">
        <v>1.53380776017529</v>
      </c>
      <c r="M320" s="17">
        <f t="shared" si="8"/>
        <v>1</v>
      </c>
      <c r="N320" s="1">
        <v>121</v>
      </c>
      <c r="O320" s="18" t="s">
        <v>682</v>
      </c>
      <c r="P320" s="19">
        <v>1.3413070714548398</v>
      </c>
      <c r="Q320" s="20">
        <v>1.5338077601752902</v>
      </c>
      <c r="R320" s="19">
        <v>0.19461658994861319</v>
      </c>
      <c r="S320" s="19">
        <v>0.46804034674352452</v>
      </c>
      <c r="T320" s="19">
        <v>0.31010154692243747</v>
      </c>
      <c r="U320" s="19">
        <v>0.96790240391434401</v>
      </c>
      <c r="V320" s="19">
        <v>0.28825905901131071</v>
      </c>
      <c r="W320" s="19">
        <v>0.90014947547851387</v>
      </c>
      <c r="X320" s="19">
        <v>2.7682627693909234</v>
      </c>
      <c r="Y320" s="19">
        <v>12.326148561205557</v>
      </c>
      <c r="Z320" s="19">
        <v>2.3670914464905866</v>
      </c>
      <c r="AA320" s="19">
        <v>4.8298495598446909</v>
      </c>
      <c r="AB320" s="19">
        <v>14.873684413503804</v>
      </c>
      <c r="AC320" s="19">
        <v>0.7426961242236052</v>
      </c>
      <c r="AD320" s="19">
        <v>2.8098259960974508</v>
      </c>
      <c r="AE320" s="19">
        <v>3.3375683852642446</v>
      </c>
      <c r="AF320" s="19">
        <v>2.8021932169418253</v>
      </c>
      <c r="AG320" s="19">
        <v>13.71435285705391</v>
      </c>
      <c r="AH320" s="19">
        <v>6.04624879861069E-2</v>
      </c>
      <c r="AI320" s="19">
        <v>10.06339508128851</v>
      </c>
      <c r="AJ320" s="19">
        <v>13.424035033298663</v>
      </c>
      <c r="AK320" s="19">
        <v>7.7588894327209648</v>
      </c>
      <c r="AL320" s="19">
        <v>6.8765169465649993</v>
      </c>
      <c r="AM320" s="19">
        <v>4.0849146597679384</v>
      </c>
      <c r="AN320" s="19">
        <v>2.2536867827322706</v>
      </c>
      <c r="AO320" s="19">
        <v>4.3269687115878925</v>
      </c>
      <c r="AP320" s="19">
        <v>4.0798047546352585</v>
      </c>
      <c r="AQ320" s="81">
        <v>5.4969735809982758</v>
      </c>
    </row>
    <row r="321" spans="1:43">
      <c r="A321" s="71">
        <v>320</v>
      </c>
      <c r="B321" s="72" t="s">
        <v>683</v>
      </c>
      <c r="C321" s="73"/>
      <c r="D321" s="74" t="s">
        <v>684</v>
      </c>
      <c r="E321" s="75" t="s">
        <v>652</v>
      </c>
      <c r="F321" s="76">
        <v>2004</v>
      </c>
      <c r="G321" s="77">
        <v>42.828380000000003</v>
      </c>
      <c r="H321" s="77">
        <v>-82.479579999999999</v>
      </c>
      <c r="I321" s="78"/>
      <c r="J321" s="78"/>
      <c r="L321" s="79">
        <v>1.9529693104822601</v>
      </c>
      <c r="M321" s="17">
        <f t="shared" si="8"/>
        <v>1</v>
      </c>
      <c r="N321" s="1">
        <v>30</v>
      </c>
      <c r="O321" s="18" t="s">
        <v>684</v>
      </c>
      <c r="P321" s="19">
        <v>1.5621663629584492</v>
      </c>
      <c r="Q321" s="20">
        <v>1.9529693104822594</v>
      </c>
      <c r="R321" s="19">
        <v>0.28980749207425938</v>
      </c>
      <c r="S321" s="19">
        <v>0.31691515615988519</v>
      </c>
      <c r="T321" s="19">
        <v>0.36396063722784588</v>
      </c>
      <c r="U321" s="19">
        <v>0.15870045672492716</v>
      </c>
      <c r="V321" s="19">
        <v>0.43439883362704368</v>
      </c>
      <c r="W321" s="19">
        <v>2.4319679195412891E-2</v>
      </c>
      <c r="X321" s="19">
        <v>0.57343397413082475</v>
      </c>
      <c r="Y321" s="19">
        <v>11.216139556425135</v>
      </c>
      <c r="Z321" s="19">
        <v>1.78114985171021</v>
      </c>
      <c r="AA321" s="19">
        <v>4.9415758618182375</v>
      </c>
      <c r="AB321" s="19">
        <v>15.113945600351721</v>
      </c>
      <c r="AC321" s="19">
        <v>0.7121114994662765</v>
      </c>
      <c r="AD321" s="19">
        <v>2.0864441086853147</v>
      </c>
      <c r="AE321" s="19">
        <v>2.6334312103556319</v>
      </c>
      <c r="AF321" s="19">
        <v>2.4539126036438925</v>
      </c>
      <c r="AG321" s="19">
        <v>12.82456102997028</v>
      </c>
      <c r="AH321" s="19">
        <v>3.235479158039662E-2</v>
      </c>
      <c r="AI321" s="19">
        <v>9.146695948030656</v>
      </c>
      <c r="AJ321" s="19">
        <v>13.448761604450006</v>
      </c>
      <c r="AK321" s="19">
        <v>7.112700132749362</v>
      </c>
      <c r="AL321" s="19">
        <v>7.0671654270171116</v>
      </c>
      <c r="AM321" s="19">
        <v>2.9998196518478943</v>
      </c>
      <c r="AN321" s="19">
        <v>2.0335111023613233</v>
      </c>
      <c r="AO321" s="19">
        <v>5.414812060565847</v>
      </c>
      <c r="AP321" s="19">
        <v>3.7644735509926663</v>
      </c>
      <c r="AQ321" s="81">
        <v>5.1039172107520665</v>
      </c>
    </row>
    <row r="322" spans="1:43">
      <c r="A322" s="80">
        <v>321</v>
      </c>
      <c r="B322" s="72" t="s">
        <v>685</v>
      </c>
      <c r="C322" s="73"/>
      <c r="D322" s="74" t="s">
        <v>686</v>
      </c>
      <c r="E322" s="75" t="s">
        <v>652</v>
      </c>
      <c r="F322" s="76">
        <v>2004</v>
      </c>
      <c r="G322" s="77">
        <v>42.823819999999998</v>
      </c>
      <c r="H322" s="77">
        <v>-82.481129999999993</v>
      </c>
      <c r="I322" s="78"/>
      <c r="J322" s="78"/>
      <c r="L322" s="79">
        <v>1.5049059935389399</v>
      </c>
      <c r="M322" s="17">
        <f t="shared" si="8"/>
        <v>1</v>
      </c>
      <c r="N322" s="1">
        <v>52</v>
      </c>
      <c r="O322" s="18" t="s">
        <v>686</v>
      </c>
      <c r="P322" s="19">
        <v>1.3247564616240612</v>
      </c>
      <c r="Q322" s="20">
        <v>1.5049059935389395</v>
      </c>
      <c r="R322" s="19">
        <v>0.31791033461854185</v>
      </c>
      <c r="S322" s="19">
        <v>0.20378604462584224</v>
      </c>
      <c r="T322" s="19">
        <v>0.43064485691210247</v>
      </c>
      <c r="U322" s="19">
        <v>0.15998236620253953</v>
      </c>
      <c r="V322" s="19">
        <v>2.2900402110078828E-2</v>
      </c>
      <c r="W322" s="19">
        <v>0.71915610795650087</v>
      </c>
      <c r="X322" s="19">
        <v>0.52750867721503636</v>
      </c>
      <c r="Y322" s="19">
        <v>11.068106475858773</v>
      </c>
      <c r="Z322" s="19">
        <v>1.4130524285485273</v>
      </c>
      <c r="AA322" s="19">
        <v>4.8364291311616476</v>
      </c>
      <c r="AB322" s="19">
        <v>14.757650437737274</v>
      </c>
      <c r="AC322" s="19">
        <v>0.63867628280023869</v>
      </c>
      <c r="AD322" s="19">
        <v>2.0100636833446979</v>
      </c>
      <c r="AE322" s="19">
        <v>2.7720967921956916</v>
      </c>
      <c r="AF322" s="19">
        <v>1.9026524711960817</v>
      </c>
      <c r="AG322" s="19">
        <v>12.742098869778307</v>
      </c>
      <c r="AH322" s="19">
        <v>2.7805170220869861E-2</v>
      </c>
      <c r="AI322" s="19">
        <v>8.760553632975741</v>
      </c>
      <c r="AJ322" s="19">
        <v>13.499472212561567</v>
      </c>
      <c r="AK322" s="19">
        <v>6.936637939002571</v>
      </c>
      <c r="AL322" s="19">
        <v>6.4181899479457662</v>
      </c>
      <c r="AM322" s="19">
        <v>2.8079730874777118</v>
      </c>
      <c r="AN322" s="19">
        <v>1.9880483974831935</v>
      </c>
      <c r="AO322" s="19">
        <v>5.3490821463910887</v>
      </c>
      <c r="AP322" s="19">
        <v>3.7333543406138272</v>
      </c>
      <c r="AQ322" s="81">
        <v>5.1643035830936501</v>
      </c>
    </row>
    <row r="323" spans="1:43">
      <c r="A323" s="71">
        <v>322</v>
      </c>
      <c r="B323" s="72" t="s">
        <v>687</v>
      </c>
      <c r="C323" s="73"/>
      <c r="D323" s="74" t="s">
        <v>688</v>
      </c>
      <c r="E323" s="75" t="s">
        <v>652</v>
      </c>
      <c r="F323" s="76">
        <v>2004</v>
      </c>
      <c r="G323" s="77">
        <v>42.766669999999998</v>
      </c>
      <c r="H323" s="77">
        <v>-82.466669999999993</v>
      </c>
      <c r="I323" s="78"/>
      <c r="J323" s="78"/>
      <c r="L323" s="79">
        <v>1.6401254914419601</v>
      </c>
      <c r="M323" s="17">
        <f t="shared" si="8"/>
        <v>1</v>
      </c>
      <c r="N323" s="1">
        <v>75</v>
      </c>
      <c r="O323" s="18" t="s">
        <v>688</v>
      </c>
      <c r="P323" s="19">
        <v>1.4006065059390891</v>
      </c>
      <c r="Q323" s="20">
        <v>1.6401254914419598</v>
      </c>
      <c r="R323" s="19">
        <v>0.35220902071503829</v>
      </c>
      <c r="S323" s="19">
        <v>0.37737617241895227</v>
      </c>
      <c r="T323" s="19">
        <v>0.67791079921982744</v>
      </c>
      <c r="U323" s="19">
        <v>0.42598916096990053</v>
      </c>
      <c r="V323" s="19">
        <v>3.5623909730721222E-2</v>
      </c>
      <c r="W323" s="19">
        <v>0.42907803593955129</v>
      </c>
      <c r="X323" s="19">
        <v>1.4994095862342809</v>
      </c>
      <c r="Y323" s="19">
        <v>11.668884984266247</v>
      </c>
      <c r="Z323" s="19">
        <v>1.5753123306874368</v>
      </c>
      <c r="AA323" s="19">
        <v>4.7586229824402393</v>
      </c>
      <c r="AB323" s="19">
        <v>14.778847155550874</v>
      </c>
      <c r="AC323" s="19">
        <v>0.58861270651378628</v>
      </c>
      <c r="AD323" s="19">
        <v>2.1560729609505671</v>
      </c>
      <c r="AE323" s="19">
        <v>3.2369517585880807</v>
      </c>
      <c r="AF323" s="19">
        <v>2.2262002286982239</v>
      </c>
      <c r="AG323" s="19">
        <v>13.081316989285771</v>
      </c>
      <c r="AH323" s="19">
        <v>4.551286708350271E-2</v>
      </c>
      <c r="AI323" s="19">
        <v>9.4532706340106234</v>
      </c>
      <c r="AJ323" s="19">
        <v>13.274814914450836</v>
      </c>
      <c r="AK323" s="19">
        <v>7.2006534363674675</v>
      </c>
      <c r="AL323" s="19">
        <v>7.1199786096548765</v>
      </c>
      <c r="AM323" s="19">
        <v>3.0674666294366322</v>
      </c>
      <c r="AN323" s="19">
        <v>2.5550798983266558</v>
      </c>
      <c r="AO323" s="19">
        <v>4.955591791753994</v>
      </c>
      <c r="AP323" s="19">
        <v>4.0125686735030559</v>
      </c>
      <c r="AQ323" s="81">
        <v>5.5668151540108965</v>
      </c>
    </row>
    <row r="324" spans="1:43">
      <c r="A324" s="80">
        <v>323</v>
      </c>
      <c r="B324" s="72" t="s">
        <v>689</v>
      </c>
      <c r="C324" s="73"/>
      <c r="D324" s="74" t="s">
        <v>690</v>
      </c>
      <c r="E324" s="75" t="s">
        <v>652</v>
      </c>
      <c r="F324" s="76">
        <v>2004</v>
      </c>
      <c r="G324" s="77">
        <v>42.735320000000002</v>
      </c>
      <c r="H324" s="77">
        <v>-82.487719999999996</v>
      </c>
      <c r="I324" s="78"/>
      <c r="J324" s="78"/>
      <c r="L324" s="79">
        <v>2.1818606098319999</v>
      </c>
      <c r="M324" s="17">
        <f t="shared" si="8"/>
        <v>1</v>
      </c>
      <c r="N324" s="1">
        <v>70</v>
      </c>
      <c r="O324" s="18" t="s">
        <v>690</v>
      </c>
      <c r="P324" s="19">
        <v>1.669870635823306</v>
      </c>
      <c r="Q324" s="20">
        <v>2.1818606098319995</v>
      </c>
      <c r="R324" s="19">
        <v>0.31021581407393534</v>
      </c>
      <c r="S324" s="19">
        <v>0.25499702802896512</v>
      </c>
      <c r="T324" s="19">
        <v>0.43284677886176071</v>
      </c>
      <c r="U324" s="19">
        <v>0.2238367401111945</v>
      </c>
      <c r="V324" s="19">
        <v>3.7030730944967026E-2</v>
      </c>
      <c r="W324" s="19">
        <v>0.24077828500411474</v>
      </c>
      <c r="X324" s="19">
        <v>1.0916288215696772</v>
      </c>
      <c r="Y324" s="19">
        <v>12.664225040837929</v>
      </c>
      <c r="Z324" s="19">
        <v>3.3178170597064258E-4</v>
      </c>
      <c r="AA324" s="19">
        <v>4.7708290460324898</v>
      </c>
      <c r="AB324" s="19">
        <v>15.169024601550378</v>
      </c>
      <c r="AC324" s="19">
        <v>0.61107792883176204</v>
      </c>
      <c r="AD324" s="19">
        <v>2.5943096729804087</v>
      </c>
      <c r="AE324" s="19">
        <v>3.5008020530571575</v>
      </c>
      <c r="AF324" s="19">
        <v>2.7019925537313432</v>
      </c>
      <c r="AG324" s="19">
        <v>13.486960686389653</v>
      </c>
      <c r="AH324" s="19">
        <v>5.7554246458089021E-2</v>
      </c>
      <c r="AI324" s="19">
        <v>10.638435913990472</v>
      </c>
      <c r="AJ324" s="19">
        <v>13.550867004960905</v>
      </c>
      <c r="AK324" s="19">
        <v>7.7360636278718138</v>
      </c>
      <c r="AL324" s="19">
        <v>7.0746766862944961</v>
      </c>
      <c r="AM324" s="19">
        <v>3.6496154590634098</v>
      </c>
      <c r="AN324" s="19">
        <v>0.87499363893296744</v>
      </c>
      <c r="AO324" s="19">
        <v>4.2164548651447573</v>
      </c>
      <c r="AP324" s="19">
        <v>4.1292830169449664</v>
      </c>
      <c r="AQ324" s="81">
        <v>5.4956951626240684</v>
      </c>
    </row>
    <row r="325" spans="1:43">
      <c r="A325" s="21"/>
      <c r="B325" s="5"/>
      <c r="C325" s="13"/>
      <c r="D325" s="43"/>
      <c r="E325" s="47"/>
      <c r="F325" s="44"/>
      <c r="G325" s="44"/>
      <c r="H325" s="44"/>
      <c r="I325" s="44"/>
      <c r="J325" s="44"/>
      <c r="L325" s="45"/>
      <c r="M325" s="17"/>
      <c r="N325" s="1">
        <v>184</v>
      </c>
      <c r="O325" s="18">
        <v>51</v>
      </c>
      <c r="P325" s="19">
        <v>1.4168397419128291</v>
      </c>
      <c r="Q325" s="20">
        <v>1.67</v>
      </c>
      <c r="R325" s="19">
        <v>0.45108648104117849</v>
      </c>
      <c r="S325" s="19">
        <v>0.34148462554071884</v>
      </c>
      <c r="T325" s="19">
        <v>0.26822784267397187</v>
      </c>
      <c r="U325" s="19">
        <v>0.33021426583421831</v>
      </c>
      <c r="V325" s="19">
        <v>0.13156011153247515</v>
      </c>
      <c r="W325" s="19">
        <v>0.49181825473158675</v>
      </c>
      <c r="X325" s="19">
        <v>3.3780773890820961</v>
      </c>
      <c r="Y325" s="19">
        <v>11.868857788291178</v>
      </c>
      <c r="Z325" s="19">
        <v>2.6345372684009392</v>
      </c>
      <c r="AA325" s="19">
        <v>4.0389806835785462E-4</v>
      </c>
      <c r="AB325" s="19">
        <v>16.082522987565998</v>
      </c>
      <c r="AC325" s="19">
        <v>1.0036095747077314</v>
      </c>
      <c r="AD325" s="19">
        <v>2.5190263411322547</v>
      </c>
      <c r="AE325" s="19">
        <v>3.8070220184346835</v>
      </c>
      <c r="AF325" s="19">
        <v>4.8514119277473791</v>
      </c>
      <c r="AG325" s="19">
        <v>14.325510292488902</v>
      </c>
      <c r="AH325" s="19">
        <v>9.1844994752467457</v>
      </c>
      <c r="AI325" s="19">
        <v>14.671894990368655</v>
      </c>
      <c r="AJ325" s="19">
        <v>8.8086093654986541</v>
      </c>
      <c r="AK325" s="19">
        <v>6.8611801974765543</v>
      </c>
      <c r="AL325" s="19">
        <v>4.1834098966066033</v>
      </c>
      <c r="AM325" s="19">
        <v>6.5960837636684531</v>
      </c>
      <c r="AN325" s="19">
        <v>0.89567520012642265</v>
      </c>
      <c r="AO325" s="19">
        <v>4.1662559581838847</v>
      </c>
      <c r="AP325" s="19">
        <v>6.3745858433411273</v>
      </c>
      <c r="AQ325" s="19">
        <v>6.3416794963671003E-2</v>
      </c>
    </row>
    <row r="326" spans="1:43">
      <c r="A326" s="4"/>
      <c r="B326" s="5"/>
      <c r="C326" s="13"/>
      <c r="D326" s="22"/>
      <c r="E326" s="5"/>
      <c r="F326" s="23"/>
      <c r="G326" s="24"/>
      <c r="H326" s="24"/>
      <c r="I326" s="25"/>
      <c r="J326" s="25"/>
      <c r="L326" s="26"/>
      <c r="M326" s="17"/>
      <c r="N326" s="1">
        <v>148</v>
      </c>
      <c r="O326" s="18">
        <v>87</v>
      </c>
      <c r="P326" s="19">
        <v>2.0143552929770698</v>
      </c>
      <c r="Q326" s="20">
        <v>3.0399999999999991</v>
      </c>
      <c r="R326" s="19">
        <v>0.16761044005580875</v>
      </c>
      <c r="S326" s="19">
        <v>2.882508533121365E-3</v>
      </c>
      <c r="T326" s="19">
        <v>9.0542489895374362E-2</v>
      </c>
      <c r="U326" s="19">
        <v>0.20569940139048146</v>
      </c>
      <c r="V326" s="19">
        <v>4.2933051883323109E-2</v>
      </c>
      <c r="W326" s="19">
        <v>1.4355292977070054E-2</v>
      </c>
      <c r="X326" s="19">
        <v>5.7532199822282415E-2</v>
      </c>
      <c r="Y326" s="19">
        <v>14.461113003116905</v>
      </c>
      <c r="Z326" s="19">
        <v>2.2428533574882366</v>
      </c>
      <c r="AA326" s="19">
        <v>3.8947508426937465E-4</v>
      </c>
      <c r="AB326" s="19">
        <v>12.399935024073173</v>
      </c>
      <c r="AC326" s="19">
        <v>0.708461192031828</v>
      </c>
      <c r="AD326" s="19">
        <v>3.5821848333423181</v>
      </c>
      <c r="AE326" s="19">
        <v>4.826354157949341</v>
      </c>
      <c r="AF326" s="19">
        <v>4.6633910343889236</v>
      </c>
      <c r="AG326" s="19">
        <v>14.284012133662506</v>
      </c>
      <c r="AH326" s="19">
        <v>11.790796930942998</v>
      </c>
      <c r="AI326" s="19">
        <v>12.43770605007221</v>
      </c>
      <c r="AJ326" s="19">
        <v>7.3707259239115901</v>
      </c>
      <c r="AK326" s="19">
        <v>6.9560175517287908</v>
      </c>
      <c r="AL326" s="19">
        <v>4.8660257232075015</v>
      </c>
      <c r="AM326" s="19">
        <v>3.2002748894213258</v>
      </c>
      <c r="AN326" s="19">
        <v>1.2656873111563065</v>
      </c>
      <c r="AO326" s="19">
        <v>5.7311160517828457</v>
      </c>
      <c r="AP326" s="19">
        <v>6.281361087081704</v>
      </c>
      <c r="AQ326" s="19">
        <v>7.5575219307092462E-2</v>
      </c>
    </row>
    <row r="327" spans="1:43">
      <c r="A327" s="4"/>
      <c r="B327" s="5"/>
      <c r="C327" s="13"/>
      <c r="D327" s="22"/>
      <c r="E327" s="5"/>
      <c r="F327" s="23"/>
      <c r="G327" s="24"/>
      <c r="H327" s="24"/>
      <c r="I327" s="25"/>
      <c r="J327" s="25"/>
      <c r="L327" s="26"/>
      <c r="M327" s="17"/>
      <c r="N327" s="1">
        <v>230</v>
      </c>
      <c r="O327" s="18">
        <v>120</v>
      </c>
      <c r="P327" s="19">
        <v>1.6507645591169025</v>
      </c>
      <c r="Q327" s="20">
        <v>2.1399999999999997</v>
      </c>
      <c r="R327" s="19">
        <v>2.4731542001715927</v>
      </c>
      <c r="S327" s="19">
        <v>2.9313993455496292</v>
      </c>
      <c r="T327" s="19">
        <v>1.7212526044103731</v>
      </c>
      <c r="U327" s="19">
        <v>3.1282280828475679</v>
      </c>
      <c r="V327" s="19">
        <v>1.8974180875102478</v>
      </c>
      <c r="W327" s="19">
        <v>1.8286890501494908</v>
      </c>
      <c r="X327" s="19">
        <v>6.8091766223488426</v>
      </c>
      <c r="Y327" s="19">
        <v>12.542414883849222</v>
      </c>
      <c r="Z327" s="19">
        <v>2.9455899745747778</v>
      </c>
      <c r="AA327" s="19">
        <v>5.3369843700552724E-4</v>
      </c>
      <c r="AB327" s="19">
        <v>14.450817625984852</v>
      </c>
      <c r="AC327" s="19">
        <v>1.2265600258178375</v>
      </c>
      <c r="AD327" s="19">
        <v>3.0952877202629296</v>
      </c>
      <c r="AE327" s="19">
        <v>4.8873371654523519</v>
      </c>
      <c r="AF327" s="19">
        <v>5.2770015943682269</v>
      </c>
      <c r="AG327" s="19">
        <v>14.6288613522209</v>
      </c>
      <c r="AH327" s="19">
        <v>9.5906450715853264</v>
      </c>
      <c r="AI327" s="19">
        <v>13.425953218993072</v>
      </c>
      <c r="AJ327" s="19">
        <v>8.8968528110620646</v>
      </c>
      <c r="AK327" s="19">
        <v>7.0283926119711246</v>
      </c>
      <c r="AL327" s="19">
        <v>5.3025986579022613</v>
      </c>
      <c r="AM327" s="19">
        <v>5.3322151734376266</v>
      </c>
      <c r="AN327" s="19">
        <v>0.16855279931106448</v>
      </c>
      <c r="AO327" s="19">
        <v>4.6842900973334025</v>
      </c>
      <c r="AP327" s="19">
        <v>8.0158350154364069</v>
      </c>
      <c r="AQ327" s="19">
        <v>0.68200588663041495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峰 谷</dc:creator>
  <cp:lastModifiedBy>峰 谷</cp:lastModifiedBy>
  <dcterms:created xsi:type="dcterms:W3CDTF">2026-02-05T19:43:26Z</dcterms:created>
  <dcterms:modified xsi:type="dcterms:W3CDTF">2026-04-28T05:53:02Z</dcterms:modified>
</cp:coreProperties>
</file>